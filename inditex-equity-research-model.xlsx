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imitriosleftakis/Desktop/"/>
    </mc:Choice>
  </mc:AlternateContent>
  <xr:revisionPtr revIDLastSave="0" documentId="8_{92C8777B-FC69-6642-9431-1339B2365B9C}" xr6:coauthVersionLast="47" xr6:coauthVersionMax="47" xr10:uidLastSave="{00000000-0000-0000-0000-000000000000}"/>
  <bookViews>
    <workbookView xWindow="1160" yWindow="3000" windowWidth="29400" windowHeight="16600" tabRatio="500" activeTab="1" xr2:uid="{00000000-000D-0000-FFFF-FFFF00000000}"/>
  </bookViews>
  <sheets>
    <sheet name="Summary" sheetId="1" r:id="rId1"/>
    <sheet name="Assumptions" sheetId="2" r:id="rId2"/>
    <sheet name="DCF" sheetId="3" r:id="rId3"/>
    <sheet name="Comps" sheetId="4" r:id="rId4"/>
    <sheet name="S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5" l="1"/>
  <c r="B7" i="5"/>
  <c r="C7" i="5" s="1"/>
  <c r="C6" i="5"/>
  <c r="B46" i="4"/>
  <c r="G22" i="4"/>
  <c r="F22" i="4"/>
  <c r="E22" i="4"/>
  <c r="B32" i="4" s="1"/>
  <c r="B35" i="4" s="1"/>
  <c r="B37" i="4" s="1"/>
  <c r="G21" i="4"/>
  <c r="F21" i="4"/>
  <c r="E21" i="4"/>
  <c r="G20" i="4"/>
  <c r="F20" i="4"/>
  <c r="B31" i="4" s="1"/>
  <c r="B34" i="4" s="1"/>
  <c r="B36" i="4" s="1"/>
  <c r="B41" i="4" s="1"/>
  <c r="B49" i="4" s="1"/>
  <c r="E20" i="4"/>
  <c r="B61" i="3"/>
  <c r="B36" i="3"/>
  <c r="B34" i="3"/>
  <c r="B32" i="3"/>
  <c r="B31" i="3"/>
  <c r="F22" i="3"/>
  <c r="F8" i="3"/>
  <c r="E8" i="3"/>
  <c r="D8" i="3"/>
  <c r="C8" i="3"/>
  <c r="B8" i="3"/>
  <c r="F58" i="2"/>
  <c r="F57" i="2"/>
  <c r="F55" i="2"/>
  <c r="F51" i="2"/>
  <c r="E35" i="2"/>
  <c r="E36" i="2" s="1"/>
  <c r="F30" i="2"/>
  <c r="E30" i="2"/>
  <c r="F28" i="2"/>
  <c r="E28" i="2"/>
  <c r="K23" i="2"/>
  <c r="J23" i="2"/>
  <c r="I23" i="2"/>
  <c r="H23" i="2"/>
  <c r="G23" i="2"/>
  <c r="E13" i="2"/>
  <c r="D13" i="2"/>
  <c r="F12" i="2"/>
  <c r="E12" i="2"/>
  <c r="D12" i="2"/>
  <c r="C12" i="2"/>
  <c r="C13" i="2" s="1"/>
  <c r="B12" i="2"/>
  <c r="B13" i="2" s="1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G4" i="2"/>
  <c r="G5" i="2" s="1"/>
  <c r="B25" i="1"/>
  <c r="C23" i="1"/>
  <c r="B23" i="1"/>
  <c r="C22" i="1"/>
  <c r="B22" i="1"/>
  <c r="B16" i="1"/>
  <c r="D16" i="1" s="1"/>
  <c r="B14" i="1"/>
  <c r="B8" i="1"/>
  <c r="B6" i="1"/>
  <c r="B5" i="1"/>
  <c r="B15" i="1" l="1"/>
  <c r="B42" i="4"/>
  <c r="D14" i="1"/>
  <c r="C14" i="1"/>
  <c r="F35" i="2"/>
  <c r="F36" i="2" s="1"/>
  <c r="F13" i="2"/>
  <c r="F60" i="2"/>
  <c r="D24" i="4"/>
  <c r="F59" i="2"/>
  <c r="F61" i="2" s="1"/>
  <c r="C24" i="4"/>
  <c r="G24" i="4" s="1"/>
  <c r="G26" i="4" s="1"/>
  <c r="B42" i="3"/>
  <c r="D27" i="1" s="1"/>
  <c r="B7" i="1"/>
  <c r="G8" i="2"/>
  <c r="B6" i="3"/>
  <c r="G12" i="2"/>
  <c r="H4" i="2"/>
  <c r="F24" i="4" l="1"/>
  <c r="F26" i="4" s="1"/>
  <c r="E24" i="4"/>
  <c r="E26" i="4" s="1"/>
  <c r="B12" i="3"/>
  <c r="B11" i="3"/>
  <c r="H5" i="2"/>
  <c r="I4" i="2"/>
  <c r="H12" i="2"/>
  <c r="C6" i="3"/>
  <c r="H8" i="2"/>
  <c r="G13" i="2"/>
  <c r="B10" i="3"/>
  <c r="D8" i="5"/>
  <c r="D6" i="5"/>
  <c r="D7" i="5"/>
  <c r="F62" i="2"/>
  <c r="F45" i="2" s="1"/>
  <c r="B7" i="3"/>
  <c r="B9" i="3" s="1"/>
  <c r="B13" i="3" s="1"/>
  <c r="G6" i="2"/>
  <c r="G7" i="2" s="1"/>
  <c r="G10" i="2"/>
  <c r="G11" i="2" s="1"/>
  <c r="G9" i="2"/>
  <c r="D15" i="1"/>
  <c r="C15" i="1"/>
  <c r="C10" i="3" l="1"/>
  <c r="H13" i="2"/>
  <c r="C12" i="3"/>
  <c r="C11" i="3"/>
  <c r="B52" i="3"/>
  <c r="B16" i="3"/>
  <c r="B24" i="1"/>
  <c r="I12" i="2"/>
  <c r="J4" i="2"/>
  <c r="I5" i="2"/>
  <c r="I8" i="2"/>
  <c r="D6" i="3"/>
  <c r="C7" i="3"/>
  <c r="C9" i="3" s="1"/>
  <c r="H9" i="2"/>
  <c r="H10" i="2"/>
  <c r="H11" i="2" s="1"/>
  <c r="H6" i="2"/>
  <c r="H7" i="2" s="1"/>
  <c r="I9" i="2" l="1"/>
  <c r="I6" i="2"/>
  <c r="I7" i="2" s="1"/>
  <c r="I10" i="2"/>
  <c r="I11" i="2" s="1"/>
  <c r="D7" i="3"/>
  <c r="D9" i="3" s="1"/>
  <c r="D10" i="3"/>
  <c r="I13" i="2"/>
  <c r="J8" i="2"/>
  <c r="E6" i="3"/>
  <c r="J5" i="2"/>
  <c r="K4" i="2"/>
  <c r="J12" i="2"/>
  <c r="F18" i="3"/>
  <c r="E18" i="3"/>
  <c r="D18" i="3"/>
  <c r="B18" i="3"/>
  <c r="B19" i="3" s="1"/>
  <c r="C18" i="3"/>
  <c r="C13" i="3"/>
  <c r="D11" i="3"/>
  <c r="D12" i="3"/>
  <c r="C19" i="3" l="1"/>
  <c r="J9" i="2"/>
  <c r="J6" i="2"/>
  <c r="J7" i="2" s="1"/>
  <c r="E7" i="3"/>
  <c r="E9" i="3" s="1"/>
  <c r="J10" i="2"/>
  <c r="J11" i="2" s="1"/>
  <c r="D13" i="3"/>
  <c r="D19" i="3" s="1"/>
  <c r="F6" i="3"/>
  <c r="K8" i="2"/>
  <c r="K5" i="2"/>
  <c r="K12" i="2"/>
  <c r="J13" i="2"/>
  <c r="E10" i="3"/>
  <c r="E11" i="3"/>
  <c r="E12" i="3"/>
  <c r="K6" i="2" l="1"/>
  <c r="K7" i="2" s="1"/>
  <c r="B43" i="3" s="1"/>
  <c r="K10" i="2"/>
  <c r="K11" i="2" s="1"/>
  <c r="F7" i="3"/>
  <c r="F9" i="3" s="1"/>
  <c r="F13" i="3" s="1"/>
  <c r="K9" i="2"/>
  <c r="D63" i="3"/>
  <c r="F61" i="3"/>
  <c r="F11" i="3"/>
  <c r="F12" i="3"/>
  <c r="E13" i="3"/>
  <c r="E19" i="3" s="1"/>
  <c r="C60" i="3" s="1"/>
  <c r="K13" i="2"/>
  <c r="F10" i="3"/>
  <c r="G62" i="3" l="1"/>
  <c r="C62" i="3"/>
  <c r="G63" i="3"/>
  <c r="F62" i="3"/>
  <c r="D61" i="3"/>
  <c r="D59" i="3"/>
  <c r="G60" i="3"/>
  <c r="D62" i="3"/>
  <c r="G61" i="3"/>
  <c r="E63" i="3"/>
  <c r="E59" i="3"/>
  <c r="C59" i="3"/>
  <c r="E62" i="3"/>
  <c r="E61" i="3"/>
  <c r="F60" i="3"/>
  <c r="F59" i="3"/>
  <c r="D60" i="3"/>
  <c r="G59" i="3"/>
  <c r="E60" i="3"/>
  <c r="B44" i="3"/>
  <c r="F23" i="3"/>
  <c r="F24" i="3" s="1"/>
  <c r="F19" i="3"/>
  <c r="B28" i="3" s="1"/>
  <c r="F54" i="3"/>
  <c r="E51" i="3"/>
  <c r="G53" i="3"/>
  <c r="G54" i="3"/>
  <c r="F52" i="3"/>
  <c r="D51" i="3"/>
  <c r="D50" i="3"/>
  <c r="C53" i="3"/>
  <c r="D54" i="3"/>
  <c r="D53" i="3"/>
  <c r="F51" i="3"/>
  <c r="F53" i="3"/>
  <c r="G51" i="3"/>
  <c r="C50" i="3"/>
  <c r="C52" i="3"/>
  <c r="F50" i="3"/>
  <c r="C54" i="3"/>
  <c r="E6" i="5"/>
  <c r="E7" i="5"/>
  <c r="G50" i="3"/>
  <c r="E8" i="5"/>
  <c r="E54" i="3"/>
  <c r="E52" i="3"/>
  <c r="E53" i="3"/>
  <c r="G52" i="3"/>
  <c r="C51" i="3"/>
  <c r="E50" i="3"/>
  <c r="D52" i="3"/>
  <c r="F63" i="3"/>
  <c r="C61" i="3"/>
  <c r="C63" i="3"/>
  <c r="F7" i="5" l="1"/>
  <c r="F6" i="5"/>
  <c r="B44" i="4"/>
  <c r="B13" i="1"/>
  <c r="F25" i="3"/>
  <c r="B29" i="3" s="1"/>
  <c r="B41" i="3"/>
  <c r="B27" i="1" s="1"/>
  <c r="F8" i="5"/>
  <c r="B45" i="4"/>
  <c r="B11" i="1"/>
  <c r="D13" i="1" l="1"/>
  <c r="C13" i="1"/>
  <c r="D11" i="1"/>
  <c r="C11" i="1"/>
  <c r="B30" i="3"/>
  <c r="B33" i="3" s="1"/>
  <c r="B35" i="3" s="1"/>
  <c r="B12" i="1" l="1"/>
  <c r="B43" i="4"/>
  <c r="B48" i="4" s="1"/>
  <c r="B37" i="3"/>
  <c r="H7" i="5"/>
  <c r="B40" i="3"/>
  <c r="B26" i="1" s="1"/>
  <c r="C12" i="1" l="1"/>
  <c r="D12" i="1"/>
</calcChain>
</file>

<file path=xl/sharedStrings.xml><?xml version="1.0" encoding="utf-8"?>
<sst xmlns="http://schemas.openxmlformats.org/spreadsheetml/2006/main" count="245" uniqueCount="222">
  <si>
    <t>Inditex (BME: ITX) - Equity Research Model</t>
  </si>
  <si>
    <t>Model date 30-Jul-26. Fiscal years ended 31 January of year shown (model FY2026 = company FY2025).</t>
  </si>
  <si>
    <t>MARKET DATA</t>
  </si>
  <si>
    <t>Current share price (€)</t>
  </si>
  <si>
    <t>Shares outstanding (m)</t>
  </si>
  <si>
    <t>Market cap (€m)</t>
  </si>
  <si>
    <t>Net cash after lease liabilities (€m)</t>
  </si>
  <si>
    <t>VALUATION SUMMARY - IMPLIED SHARE PRICE (€)</t>
  </si>
  <si>
    <t>vs current</t>
  </si>
  <si>
    <t>Range (each block = €2)</t>
  </si>
  <si>
    <t>DCF - bear case (beta 1.10)</t>
  </si>
  <si>
    <t>DCF - base case (beta 0.90)</t>
  </si>
  <si>
    <t>DCF - bull case (beta 0.65)</t>
  </si>
  <si>
    <t>Comps - EV/EBITDA (peer median)</t>
  </si>
  <si>
    <t>Comps - EV/Sales (core peers)</t>
  </si>
  <si>
    <t>Current share price</t>
  </si>
  <si>
    <t>MODEL VIEW: SELL</t>
  </si>
  <si>
    <t>Every methodology lands well below the market. Base-case DCF implies ~40% downside; the price only reconciles with a beta of ~0.46 vs 0.90 measured (Scenarios tab). Terminal assumptions already hold margins at all-time highs.</t>
  </si>
  <si>
    <t>KEY ASSUMPTIONS</t>
  </si>
  <si>
    <t>Revenue growth FY2027E-FY2031E (fade)</t>
  </si>
  <si>
    <t>EBIT margin (held near record)</t>
  </si>
  <si>
    <t>WACC (base)</t>
  </si>
  <si>
    <t>Terminal growth</t>
  </si>
  <si>
    <t>Terminal value as % of EV</t>
  </si>
  <si>
    <t>Implied exit EV/EBITDA (lease-adj.)</t>
  </si>
  <si>
    <t>HOW TO READ THIS MODEL</t>
  </si>
  <si>
    <t>Blue = hardcoded input (source noted alongside)</t>
  </si>
  <si>
    <t>Black = formula (same sheet)</t>
  </si>
  <si>
    <t>Green = link to another sheet</t>
  </si>
  <si>
    <t>Tabs: Assumptions (drivers, WACC) &gt; DCF (valuation, sensitivities) &gt; Comps &gt; Scenarios.</t>
  </si>
  <si>
    <t>Inditex (BME: ITX) - Model Assumptions</t>
  </si>
  <si>
    <t>Fiscal years ended 31 January of year shown (model "FY2026" = company-reported "FY2025", ended 31-Jan-2026). All figures €m unless stated.</t>
  </si>
  <si>
    <t>FY2022</t>
  </si>
  <si>
    <t>FY2023</t>
  </si>
  <si>
    <t>FY2024</t>
  </si>
  <si>
    <t>FY2025</t>
  </si>
  <si>
    <t>FY2026</t>
  </si>
  <si>
    <t>FY2027E</t>
  </si>
  <si>
    <t>FY2028E</t>
  </si>
  <si>
    <t>FY2029E</t>
  </si>
  <si>
    <t>FY2030E</t>
  </si>
  <si>
    <t>FY2031E</t>
  </si>
  <si>
    <t>Revenue (€m)</t>
  </si>
  <si>
    <t>Revenue growth (%)</t>
  </si>
  <si>
    <t>n/a</t>
  </si>
  <si>
    <t>EBITDA, lease-adjusted (€m)</t>
  </si>
  <si>
    <t>EBITDA margin, lease-adj. (%)</t>
  </si>
  <si>
    <t>EBIT (€m)</t>
  </si>
  <si>
    <t>EBIT margin (%)</t>
  </si>
  <si>
    <t>D&amp;A excl. lease depreciation (€m)</t>
  </si>
  <si>
    <t>D&amp;A (excl. lease dep.) as % of revenue</t>
  </si>
  <si>
    <t>Note: EBITDA shown is lease-adjusted (post-IFRS 16 EBIT + non-lease D&amp;A). Reported FY2026 EBITDA was €11,315m (EBIT €8,045m + total D&amp;A €3,270m per CFS); the €1,930m difference is lease depreciation. See Comps tab for the reported-basis figure used in multiples.</t>
  </si>
  <si>
    <t>PROJECTION ASSUMPTIONS</t>
  </si>
  <si>
    <t>Revenue growth assumption (%)</t>
  </si>
  <si>
    <t>EBIT margin assumption (%)</t>
  </si>
  <si>
    <t>Tax rate (%)</t>
  </si>
  <si>
    <t>Revenue growth cross-check (illustrative split - replace with company disclosure):</t>
  </si>
  <si>
    <t xml:space="preserve">   of which net space contribution (%)</t>
  </si>
  <si>
    <t>Illustrative: FY2026 saw 190 openings / 293 absorptions on 5,460 stores; verify net space growth from company disclosures</t>
  </si>
  <si>
    <t xml:space="preserve">   of which LFL / price-mix (%)</t>
  </si>
  <si>
    <t>FREE CASH FLOW INPUTS</t>
  </si>
  <si>
    <t>Capex (€m)</t>
  </si>
  <si>
    <t>Capex as % of revenue</t>
  </si>
  <si>
    <t>Working capital change per CFS (€m; negative = cash outflow)</t>
  </si>
  <si>
    <t>Source: FY2025 CFS - changes in working capital (803) FY2025, (198) FY2024 (company fiscal labels)</t>
  </si>
  <si>
    <t>WC change as % of revenue</t>
  </si>
  <si>
    <t>Capex as % of revenue assumption</t>
  </si>
  <si>
    <t>WC cash impact as % of revenue assumption (negative = outflow)</t>
  </si>
  <si>
    <t>INDICATIVE HISTORICAL UNLEVERED FCF</t>
  </si>
  <si>
    <t>Unlevered FCF (€m)</t>
  </si>
  <si>
    <t>FCF margin (%)</t>
  </si>
  <si>
    <t>Indicative: EBIT x (1 - 23%) + non-lease D&amp;A - capex + WC change per CFS. Same construction as forecast FCF for comparability.</t>
  </si>
  <si>
    <t>VALUATION INPUTS</t>
  </si>
  <si>
    <t>Current shares outstanding (m)</t>
  </si>
  <si>
    <t>Yahoo Finance, 30-Jul-26</t>
  </si>
  <si>
    <t>Total debt = IFRS 16 lease liabilities (€m)</t>
  </si>
  <si>
    <t>FY2026 balance sheet: current lease liability €1,539m + non-current. Inditex carries no material financial debt.</t>
  </si>
  <si>
    <t>Cash, equivalents &amp; ST investments (€m)</t>
  </si>
  <si>
    <t>Company-stated net cash position €11.0bn, FY2025 results release</t>
  </si>
  <si>
    <t>Terminal growth rate (%)</t>
  </si>
  <si>
    <t>WACC (%)</t>
  </si>
  <si>
    <t>WACC DERIVATION</t>
  </si>
  <si>
    <t>Risk-free rate (%)</t>
  </si>
  <si>
    <t>10Y Bund proxy</t>
  </si>
  <si>
    <t>Beta</t>
  </si>
  <si>
    <t>Yahoo Finance 5yr monthly vs S&amp;P 500, 30-Jul-26. Should be re-estimated vs STOXX Europe 600 / IBEX 35 (local index), Blume-adjusted; net-cash balance sheet argues for a relevering check. Scenario range 0.65-1.10 spans plausible estimates.</t>
  </si>
  <si>
    <t>Equity risk premium (%)</t>
  </si>
  <si>
    <t>Cost of equity (%)</t>
  </si>
  <si>
    <t>Pre-tax cost of debt (%)</t>
  </si>
  <si>
    <t>Implied lease rate: FY2026 lease financial expense €215m / €5,935m lease liabilities = 3.6% (CFS). Above 3.3% risk-free, as required.</t>
  </si>
  <si>
    <t>Tax rate for WACC (%)</t>
  </si>
  <si>
    <t>After-tax cost of debt (%)</t>
  </si>
  <si>
    <t>Total debt (€m)</t>
  </si>
  <si>
    <t>Total capital (€m)</t>
  </si>
  <si>
    <t>Equity weight (%)</t>
  </si>
  <si>
    <t>Debt weight (%)</t>
  </si>
  <si>
    <t>SOURCES</t>
  </si>
  <si>
    <t>Historical financials: Inditex FY2022-FY2025 (company labels) results releases and annexes, inditex.com/investors. EBITDA restated to lease-adjusted basis (EBIT + non-lease D&amp;A).</t>
  </si>
  <si>
    <t>FY2026 (company FY2025, ended 31-Jan-26): revenue €39,864m, EBIT €8,045m, net income €6,220m, capex €2.7bn, net cash €11.0bn, 5,460 stores - FY2025 results release.</t>
  </si>
  <si>
    <t>Market data: Yahoo Finance, 30-Jul-26. Projection assumptions (growth fade, margins, tax, capex, WC): analyst inputs - shown in blue.</t>
  </si>
  <si>
    <t>Inditex (BME: ITX) - DCF Valuation</t>
  </si>
  <si>
    <t>Mid-year discounting convention. All figures €m unless stated.</t>
  </si>
  <si>
    <t>FREE CASH FLOW</t>
  </si>
  <si>
    <t>NOPAT (€m)</t>
  </si>
  <si>
    <t>Add: D&amp;A excl. lease depreciation (€m)</t>
  </si>
  <si>
    <t>Less: Capex (€m)</t>
  </si>
  <si>
    <t>Working capital cash impact (€m; negative = outflow)</t>
  </si>
  <si>
    <t>Free Cash Flow (€m)</t>
  </si>
  <si>
    <t>DISCOUNTING</t>
  </si>
  <si>
    <t>Discount period (mid-year)</t>
  </si>
  <si>
    <t>Discount factor</t>
  </si>
  <si>
    <t>PV of FCF (€m)</t>
  </si>
  <si>
    <t>TERMINAL VALUE</t>
  </si>
  <si>
    <t>Terminal year FCF (€m)</t>
  </si>
  <si>
    <t>Terminal value (€m)</t>
  </si>
  <si>
    <t>PV of terminal value (€m)</t>
  </si>
  <si>
    <t>VALUATION</t>
  </si>
  <si>
    <t>Sum of PV of FCFs (€m)</t>
  </si>
  <si>
    <t>Enterprise value (€m)</t>
  </si>
  <si>
    <t>Less: lease liabilities (€m)</t>
  </si>
  <si>
    <t>Add: cash &amp; ST investments (€m)</t>
  </si>
  <si>
    <t>Equity value (€m)</t>
  </si>
  <si>
    <t>Implied share price (€)</t>
  </si>
  <si>
    <t>Implied upside / (downside) (%)</t>
  </si>
  <si>
    <t>CROSS-CHECKS</t>
  </si>
  <si>
    <t>Implied exit EV/EBITDA (lease-adj., x)</t>
  </si>
  <si>
    <t>Exit multiple well below current: the Sell case in one number</t>
  </si>
  <si>
    <t>Current EV/EBITDA (lease-adj., x)</t>
  </si>
  <si>
    <t>Terminal EBITDA margin (lease-adj., %)</t>
  </si>
  <si>
    <t>vs 23.5% FY2026A - assumes margins hold at all-time high in perpetuity</t>
  </si>
  <si>
    <t>FCF margin FY2031E (%)</t>
  </si>
  <si>
    <t>Lease (IFRS 16) framework: EBIT is post-IFRS 16 as reported; the D&amp;A add-back excludes lease depreciation and capex excludes right-of-use additions (approximately offsetting); lease interest is excluded from unlevered FCF; the full lease liability (€5,935m) is deducted as debt in the bridge. Internally consistent treatment.</t>
  </si>
  <si>
    <t>SENSITIVITY 1 - IMPLIED SHARE PRICE (€): WACC (rows) x TERMINAL GROWTH (columns)</t>
  </si>
  <si>
    <t>WACC ↓ / g →</t>
  </si>
  <si>
    <t>SENSITIVITY 2 - IMPLIED SHARE PRICE (€): TERMINAL EBIT MARGIN (rows) x TERMINAL GROWTH (columns)</t>
  </si>
  <si>
    <t>Margin applied to terminal-year FCF and terminal value only; FY2027-30 cash flows held at base.</t>
  </si>
  <si>
    <t>EBIT m. ↓ / g →</t>
  </si>
  <si>
    <t>Inditex (BME: ITX) - Trading Comparables</t>
  </si>
  <si>
    <t>Peer multiples on reported (post-IFRS 16) financials. Prices as of 30-Jul-26.</t>
  </si>
  <si>
    <t>FX ASSUMPTIONS</t>
  </si>
  <si>
    <t>Date of rates</t>
  </si>
  <si>
    <t>GBP/EUR</t>
  </si>
  <si>
    <t>SEK/EUR</t>
  </si>
  <si>
    <t>JPY/EUR</t>
  </si>
  <si>
    <t>USD/EUR</t>
  </si>
  <si>
    <t>Rate (1 foreign unit = x EUR)</t>
  </si>
  <si>
    <t>Note: GBp tickers (Next, M&amp;S, ABF) report in pence - divide market cap by 100 before applying GBP/EUR. Multiples are currency-neutral and need no conversion.</t>
  </si>
  <si>
    <t>COMPARABLE COMPANIES</t>
  </si>
  <si>
    <t>Company</t>
  </si>
  <si>
    <t>Ticker</t>
  </si>
  <si>
    <t>Market cap (€bn)</t>
  </si>
  <si>
    <t>EV (€bn)</t>
  </si>
  <si>
    <t>EV/Sales (x)</t>
  </si>
  <si>
    <t>EV/EBITDA (x)</t>
  </si>
  <si>
    <t>P/E (x)</t>
  </si>
  <si>
    <t>Notes</t>
  </si>
  <si>
    <t>H&amp;M (Hennes &amp; Mauritz)</t>
  </si>
  <si>
    <t>HMB:SS</t>
  </si>
  <si>
    <t>Closest business-model twin - identical model, radically worse execution. The EV/EBITDA gap (8.1x vs ~15x) quantifies what the market pays for operational excellence within the same format.</t>
  </si>
  <si>
    <t>Fast Retailing</t>
  </si>
  <si>
    <t>9983:JP</t>
  </si>
  <si>
    <t>Only peer at comparable scale and quality. Trades richer than Inditex on every metric - the single most important check on the "priced for permanence" thesis. If the market pays 51x for Uniqlo, ~29x for Inditex is internally consistent.</t>
  </si>
  <si>
    <t>Next plc</t>
  </si>
  <si>
    <t>NXT:LN</t>
  </si>
  <si>
    <t>Sharpest bear-case exhibit. Comparable execution quality and capital discipline at well under half the EV/EBITDA multiple. The "why pay up?" question made concrete - the premium must be earned by growth and geography, not quality alone.</t>
  </si>
  <si>
    <t>Zalando</t>
  </si>
  <si>
    <t>ZAL:GR</t>
  </si>
  <si>
    <t>Pure-play online proxy. EV/Sales of 0.58x vs Inditex's ~4.4x shows how differently the market values online-only revenue versus integrated retail. Digital channel growing slower than group at Inditex makes this increasingly relevant.</t>
  </si>
  <si>
    <t>Associated British Foods</t>
  </si>
  <si>
    <t>ABF:LN</t>
  </si>
  <si>
    <t>Conglomerate - group multiples contaminated by sugar, grocery and ingredients divisions; excluded from core EV/Sales median. Deep-discount no-ecommerce contrast - the most direct casualty of Shein/Temu pressure that Zara's positioning largely avoids.</t>
  </si>
  <si>
    <t>Marks &amp; Spencer</t>
  </si>
  <si>
    <t>MKS:LN</t>
  </si>
  <si>
    <t>Legacy retailer turnaround. Clothing competes with Massimo Dutti in the UK. Forward P/E used - trailing (33x) distorted by one-off items. EV/EBITDA almost identical to H&amp;M despite a fundamentally different trajectory.</t>
  </si>
  <si>
    <t>Gap</t>
  </si>
  <si>
    <t>GAP:US</t>
  </si>
  <si>
    <t>US/Americas reference - the geography where Inditex's growth optionality sits (17.8% of revenue, Bershka US entry underway). P/E ~7.6x (trailing, re-verified late-Jul-26) shows how brutally the US prices apparel without pricing power. Sets the floor the Americas expansion must clear.</t>
  </si>
  <si>
    <t>Peer median (all 7)</t>
  </si>
  <si>
    <t>Peer mean (all 7)</t>
  </si>
  <si>
    <t>Core peers median (H&amp;M, Fast Retailing, Next)</t>
  </si>
  <si>
    <t>Inditex (on FY2026A model financials)</t>
  </si>
  <si>
    <t>ITX:SM</t>
  </si>
  <si>
    <t>Subject company. Multiples computed live from model inputs on FY2026A reported figures (EBITDA on reported post-IFRS 16 basis, row 28) - may differ slightly from screen-quoted trailing multiples.</t>
  </si>
  <si>
    <t>Premium / (discount) to peer median</t>
  </si>
  <si>
    <t>INDITEX FY2026A REPORTED EBITDA (for multiples)</t>
  </si>
  <si>
    <t>EBIT €8,045m + total D&amp;A €3,270m per FY2025 CFS (post-IFRS 16, consistent with peer multiple basis)</t>
  </si>
  <si>
    <t>IMPLIED VALUATION FROM PEER MULTIPLES</t>
  </si>
  <si>
    <t>Implied EV - peer median EV/EBITDA x reported EBITDA (€m)</t>
  </si>
  <si>
    <t>Implied EV - core-peer median EV/Sales x revenue (€m)</t>
  </si>
  <si>
    <t>Implied equity value - EV/EBITDA (€m)</t>
  </si>
  <si>
    <t>Implied equity value - EV/Sales (€m)</t>
  </si>
  <si>
    <t>Implied share price - EV/EBITDA (€)</t>
  </si>
  <si>
    <t>Implied share price - EV/Sales, core peers (€)</t>
  </si>
  <si>
    <t>EV/Sales uses core-peer median only (H&amp;M, Fast Retailing, Next): the full-peer median (0.9x) is set by ABF and M&amp;S, whose conglomerate/food mix makes it meaningless for Inditex. Peer EV/EBITDA is post-IFRS 16, so it is applied to reported EBITDA and lease debt is then deducted in the bridge - consistent basis.</t>
  </si>
  <si>
    <t>VALUATION SUMMARY</t>
  </si>
  <si>
    <t>Comps implied - EV/EBITDA, peer median (€)</t>
  </si>
  <si>
    <t>Comps implied - EV/Sales, core peers (€)</t>
  </si>
  <si>
    <t>DCF implied - base case (€)</t>
  </si>
  <si>
    <t>DCF implied - bull case (€)</t>
  </si>
  <si>
    <t>DCF implied - bear case (€)</t>
  </si>
  <si>
    <t>Downside to base-case DCF (%)</t>
  </si>
  <si>
    <t>Downside to EV/EBITDA comps (%)</t>
  </si>
  <si>
    <t>Sources: Yahoo Finance, 30-Jul-26. P/E trailing unless stated; M&amp;S forward (trailing distorted by restructuring charges). Gap figures re-verified late-Jul-26 (P/E ~7.6x trailing). ABF multiples reflect group consolidation - Primark not separately disclosed. ASOS, Burberry and LVMH excluded - see investment thesis for rationale.</t>
  </si>
  <si>
    <t>Scenario Analysis - Cost of Equity Sensitivity</t>
  </si>
  <si>
    <t>Live formulas: scenarios recompute from DCF cash flows and WACC inputs. No stale hardcodes.</t>
  </si>
  <si>
    <t>Scenario</t>
  </si>
  <si>
    <t>Implied price (€)</t>
  </si>
  <si>
    <t>Upside / (downside) (%)</t>
  </si>
  <si>
    <t>Rationale</t>
  </si>
  <si>
    <t>Check</t>
  </si>
  <si>
    <t>Bull case</t>
  </si>
  <si>
    <t>Low-beta defensive read; near bottom of observed range</t>
  </si>
  <si>
    <t>Base case</t>
  </si>
  <si>
    <t>Yahoo Finance 5yr monthly, 30-Jul-26 (see beta note on Assumptions)</t>
  </si>
  <si>
    <t>Base case must equal DCF tab (=0.00)</t>
  </si>
  <si>
    <t>Bear case</t>
  </si>
  <si>
    <t>Discretionary retail; China and US cyclical exposure</t>
  </si>
  <si>
    <t>Beta implied by current share price (€57.28)</t>
  </si>
  <si>
    <t>Solved numerically (goal-seek on DCF price = market price), 01-Aug-26; re-solve if model inputs change. Market implies a beta far below any measured estimate - the core of the Sell case: the price only works if you believe Inditex is materially less risky than its own trading history suggests.</t>
  </si>
  <si>
    <t>NOPAT / proxy net income (€m)</t>
  </si>
  <si>
    <t>NOPAT / proxy net margin (%)</t>
  </si>
  <si>
    <t>Above company guidance of €2.3bn / ~5.5% of revenye for FY2027; maintained at historical rate as conservative 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</si>
</sst>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"/>
    <numFmt numFmtId="166" formatCode="#,##0;\(#,##0\)"/>
    <numFmt numFmtId="167" formatCode="0.0%;\(0.0%\)"/>
    <numFmt numFmtId="168" formatCode="0.00%;\(0.00%\)"/>
    <numFmt numFmtId="169" formatCode="0.0\x"/>
    <numFmt numFmtId="170" formatCode="0.0"/>
    <numFmt numFmtId="171" formatCode="0.000"/>
    <numFmt numFmtId="172" formatCode="d\-mmm\-yy"/>
  </numFmts>
  <fonts count="21" x14ac:knownFonts="1">
    <font>
      <sz val="11"/>
      <color theme="1"/>
      <name val="Calibri"/>
      <family val="2"/>
      <charset val="1"/>
    </font>
    <font>
      <b/>
      <sz val="12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9"/>
      <color rgb="FF000000"/>
      <name val="Arial"/>
      <family val="2"/>
    </font>
    <font>
      <sz val="9"/>
      <color rgb="FF808080"/>
      <name val="Arial"/>
      <family val="2"/>
    </font>
    <font>
      <b/>
      <sz val="10"/>
      <color rgb="FF008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8"/>
      <color rgb="FF000000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167" fontId="4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top" wrapText="1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0" fontId="12" fillId="0" borderId="0" xfId="0" applyFont="1"/>
    <xf numFmtId="0" fontId="13" fillId="0" borderId="0" xfId="0" applyFont="1"/>
    <xf numFmtId="0" fontId="3" fillId="0" borderId="1" xfId="0" applyFont="1" applyBorder="1" applyAlignment="1">
      <alignment horizontal="center"/>
    </xf>
    <xf numFmtId="166" fontId="14" fillId="0" borderId="0" xfId="0" applyNumberFormat="1" applyFont="1"/>
    <xf numFmtId="166" fontId="4" fillId="0" borderId="0" xfId="0" applyNumberFormat="1" applyFont="1"/>
    <xf numFmtId="0" fontId="15" fillId="0" borderId="0" xfId="0" applyFont="1" applyAlignment="1">
      <alignment horizontal="center"/>
    </xf>
    <xf numFmtId="167" fontId="14" fillId="0" borderId="0" xfId="0" applyNumberFormat="1" applyFont="1"/>
    <xf numFmtId="0" fontId="16" fillId="0" borderId="0" xfId="0" applyFont="1"/>
    <xf numFmtId="165" fontId="14" fillId="0" borderId="0" xfId="0" applyNumberFormat="1" applyFont="1"/>
    <xf numFmtId="164" fontId="14" fillId="0" borderId="0" xfId="0" applyNumberFormat="1" applyFont="1"/>
    <xf numFmtId="168" fontId="4" fillId="0" borderId="0" xfId="0" applyNumberFormat="1" applyFont="1"/>
    <xf numFmtId="2" fontId="14" fillId="0" borderId="0" xfId="0" applyNumberFormat="1" applyFont="1"/>
    <xf numFmtId="168" fontId="3" fillId="0" borderId="0" xfId="0" applyNumberFormat="1" applyFont="1"/>
    <xf numFmtId="0" fontId="17" fillId="0" borderId="0" xfId="0" applyFont="1"/>
    <xf numFmtId="166" fontId="3" fillId="0" borderId="1" xfId="0" applyNumberFormat="1" applyFont="1" applyBorder="1"/>
    <xf numFmtId="170" fontId="4" fillId="0" borderId="0" xfId="0" applyNumberFormat="1" applyFont="1"/>
    <xf numFmtId="171" fontId="4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/>
    <xf numFmtId="167" fontId="3" fillId="0" borderId="0" xfId="0" applyNumberFormat="1" applyFont="1"/>
    <xf numFmtId="169" fontId="4" fillId="0" borderId="0" xfId="0" applyNumberFormat="1" applyFont="1"/>
    <xf numFmtId="167" fontId="18" fillId="0" borderId="0" xfId="0" applyNumberFormat="1" applyFont="1"/>
    <xf numFmtId="168" fontId="18" fillId="0" borderId="0" xfId="0" applyNumberFormat="1" applyFont="1"/>
    <xf numFmtId="164" fontId="4" fillId="0" borderId="0" xfId="0" applyNumberFormat="1" applyFont="1"/>
    <xf numFmtId="168" fontId="8" fillId="0" borderId="0" xfId="0" applyNumberFormat="1" applyFont="1"/>
    <xf numFmtId="167" fontId="8" fillId="0" borderId="0" xfId="0" applyNumberFormat="1" applyFont="1"/>
    <xf numFmtId="172" fontId="14" fillId="0" borderId="0" xfId="0" applyNumberFormat="1" applyFont="1"/>
    <xf numFmtId="0" fontId="3" fillId="0" borderId="0" xfId="0" applyFont="1" applyAlignment="1">
      <alignment horizontal="center"/>
    </xf>
    <xf numFmtId="171" fontId="14" fillId="0" borderId="0" xfId="0" applyNumberFormat="1" applyFont="1"/>
    <xf numFmtId="0" fontId="3" fillId="0" borderId="1" xfId="0" applyFont="1" applyBorder="1"/>
    <xf numFmtId="169" fontId="14" fillId="0" borderId="0" xfId="0" applyNumberFormat="1" applyFont="1"/>
    <xf numFmtId="0" fontId="19" fillId="0" borderId="0" xfId="0" applyFont="1" applyAlignment="1">
      <alignment vertical="top" wrapText="1"/>
    </xf>
    <xf numFmtId="169" fontId="3" fillId="0" borderId="0" xfId="0" applyNumberFormat="1" applyFont="1"/>
    <xf numFmtId="2" fontId="5" fillId="0" borderId="0" xfId="0" applyNumberFormat="1" applyFont="1"/>
    <xf numFmtId="2" fontId="17" fillId="0" borderId="0" xfId="0" applyNumberFormat="1" applyFont="1"/>
    <xf numFmtId="0" fontId="16" fillId="0" borderId="0" xfId="0" applyFont="1" applyAlignment="1">
      <alignment vertical="top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zoomScaleNormal="100" workbookViewId="0">
      <selection activeCell="D24" sqref="D24"/>
    </sheetView>
  </sheetViews>
  <sheetFormatPr baseColWidth="10" defaultColWidth="8.6640625" defaultRowHeight="15" x14ac:dyDescent="0.2"/>
  <cols>
    <col min="1" max="1" width="42" customWidth="1"/>
    <col min="2" max="2" width="12" customWidth="1"/>
    <col min="3" max="3" width="11" customWidth="1"/>
    <col min="4" max="4" width="34" customWidth="1"/>
  </cols>
  <sheetData>
    <row r="1" spans="1:4" ht="16" x14ac:dyDescent="0.2">
      <c r="A1" s="1" t="s">
        <v>0</v>
      </c>
    </row>
    <row r="2" spans="1:4" x14ac:dyDescent="0.2">
      <c r="A2" s="2" t="s">
        <v>1</v>
      </c>
    </row>
    <row r="4" spans="1:4" x14ac:dyDescent="0.2">
      <c r="A4" s="3" t="s">
        <v>2</v>
      </c>
    </row>
    <row r="5" spans="1:4" x14ac:dyDescent="0.2">
      <c r="A5" s="4" t="s">
        <v>3</v>
      </c>
      <c r="B5" s="5">
        <f>Assumptions!F41</f>
        <v>57.28</v>
      </c>
    </row>
    <row r="6" spans="1:4" x14ac:dyDescent="0.2">
      <c r="A6" s="4" t="s">
        <v>4</v>
      </c>
      <c r="B6" s="6">
        <f>Assumptions!F40</f>
        <v>3116.1</v>
      </c>
    </row>
    <row r="7" spans="1:4" x14ac:dyDescent="0.2">
      <c r="A7" s="4" t="s">
        <v>5</v>
      </c>
      <c r="B7" s="7">
        <f>Assumptions!F57</f>
        <v>178490.20799999998</v>
      </c>
    </row>
    <row r="8" spans="1:4" x14ac:dyDescent="0.2">
      <c r="A8" s="4" t="s">
        <v>6</v>
      </c>
      <c r="B8" s="7">
        <f>Assumptions!F43-Assumptions!F42</f>
        <v>5025</v>
      </c>
    </row>
    <row r="10" spans="1:4" x14ac:dyDescent="0.2">
      <c r="A10" s="3" t="s">
        <v>7</v>
      </c>
      <c r="C10" s="8" t="s">
        <v>8</v>
      </c>
      <c r="D10" s="8" t="s">
        <v>9</v>
      </c>
    </row>
    <row r="11" spans="1:4" x14ac:dyDescent="0.2">
      <c r="A11" s="4" t="s">
        <v>10</v>
      </c>
      <c r="B11" s="5">
        <f>Scenarios!E8</f>
        <v>29.204522952032335</v>
      </c>
      <c r="C11" s="9">
        <f>(B11-$B$16)/$B$16</f>
        <v>-0.49014450153574834</v>
      </c>
      <c r="D11" s="10" t="str">
        <f t="shared" ref="D11:D16" si="0">REPT("█",ROUND(B11/2,0))</f>
        <v>███████████████</v>
      </c>
    </row>
    <row r="12" spans="1:4" x14ac:dyDescent="0.2">
      <c r="A12" s="3" t="s">
        <v>11</v>
      </c>
      <c r="B12" s="11">
        <f>DCF!B35</f>
        <v>34.364677474278857</v>
      </c>
      <c r="C12" s="9">
        <f>(B12-$B$16)/$B$16</f>
        <v>-0.40005800498814847</v>
      </c>
      <c r="D12" s="10" t="str">
        <f t="shared" si="0"/>
        <v>█████████████████</v>
      </c>
    </row>
    <row r="13" spans="1:4" x14ac:dyDescent="0.2">
      <c r="A13" s="4" t="s">
        <v>12</v>
      </c>
      <c r="B13" s="5">
        <f>Scenarios!E6</f>
        <v>44.457415597127458</v>
      </c>
      <c r="C13" s="9">
        <f>(B13-$B$16)/$B$16</f>
        <v>-0.22385796792724411</v>
      </c>
      <c r="D13" s="10" t="str">
        <f t="shared" si="0"/>
        <v>██████████████████████</v>
      </c>
    </row>
    <row r="14" spans="1:4" x14ac:dyDescent="0.2">
      <c r="A14" s="4" t="s">
        <v>13</v>
      </c>
      <c r="B14" s="5">
        <f>Comps!B36</f>
        <v>31.642132794197874</v>
      </c>
      <c r="C14" s="9">
        <f>(B14-$B$16)/$B$16</f>
        <v>-0.44758846378844497</v>
      </c>
      <c r="D14" s="10" t="str">
        <f t="shared" si="0"/>
        <v>████████████████</v>
      </c>
    </row>
    <row r="15" spans="1:4" x14ac:dyDescent="0.2">
      <c r="A15" s="4" t="s">
        <v>14</v>
      </c>
      <c r="B15" s="5">
        <f>Comps!B37</f>
        <v>36.921035910272451</v>
      </c>
      <c r="C15" s="9">
        <f>(B15-$B$16)/$B$16</f>
        <v>-0.35542884234859551</v>
      </c>
      <c r="D15" s="10" t="str">
        <f t="shared" si="0"/>
        <v>██████████████████</v>
      </c>
    </row>
    <row r="16" spans="1:4" x14ac:dyDescent="0.2">
      <c r="A16" s="3" t="s">
        <v>15</v>
      </c>
      <c r="B16" s="11">
        <f>Assumptions!F41</f>
        <v>57.28</v>
      </c>
      <c r="C16" s="9"/>
      <c r="D16" s="12" t="str">
        <f t="shared" si="0"/>
        <v>█████████████████████████████</v>
      </c>
    </row>
    <row r="18" spans="1:4" x14ac:dyDescent="0.2">
      <c r="A18" s="13" t="s">
        <v>16</v>
      </c>
    </row>
    <row r="19" spans="1:4" ht="65" x14ac:dyDescent="0.2">
      <c r="A19" s="14" t="s">
        <v>17</v>
      </c>
    </row>
    <row r="21" spans="1:4" x14ac:dyDescent="0.2">
      <c r="A21" s="3" t="s">
        <v>18</v>
      </c>
    </row>
    <row r="22" spans="1:4" x14ac:dyDescent="0.2">
      <c r="A22" s="4" t="s">
        <v>19</v>
      </c>
      <c r="B22" s="15">
        <f>Assumptions!G17</f>
        <v>0.06</v>
      </c>
      <c r="C22" s="15">
        <f>Assumptions!K17</f>
        <v>0.04</v>
      </c>
    </row>
    <row r="23" spans="1:4" x14ac:dyDescent="0.2">
      <c r="A23" s="4" t="s">
        <v>20</v>
      </c>
      <c r="B23" s="15">
        <f>Assumptions!G18</f>
        <v>0.20200000000000001</v>
      </c>
      <c r="C23" s="15">
        <f>Assumptions!K18</f>
        <v>0.20300000000000001</v>
      </c>
    </row>
    <row r="24" spans="1:4" x14ac:dyDescent="0.2">
      <c r="A24" s="4" t="s">
        <v>21</v>
      </c>
      <c r="B24" s="16">
        <f>Assumptions!F45</f>
        <v>8.0737121142354901E-2</v>
      </c>
    </row>
    <row r="25" spans="1:4" x14ac:dyDescent="0.2">
      <c r="A25" s="4" t="s">
        <v>22</v>
      </c>
      <c r="B25" s="15">
        <f>Assumptions!F44</f>
        <v>2.5000000000000001E-2</v>
      </c>
    </row>
    <row r="26" spans="1:4" x14ac:dyDescent="0.2">
      <c r="A26" s="4" t="s">
        <v>23</v>
      </c>
      <c r="B26" s="15">
        <f>DCF!B40</f>
        <v>0.77439025997853295</v>
      </c>
    </row>
    <row r="27" spans="1:4" x14ac:dyDescent="0.2">
      <c r="A27" s="4" t="s">
        <v>24</v>
      </c>
      <c r="B27" s="17">
        <f>DCF!B41</f>
        <v>9.1613045248710208</v>
      </c>
      <c r="C27" s="4" t="s">
        <v>8</v>
      </c>
      <c r="D27" s="17">
        <f>DCF!B42</f>
        <v>18.483240063931806</v>
      </c>
    </row>
    <row r="29" spans="1:4" x14ac:dyDescent="0.2">
      <c r="A29" s="3" t="s">
        <v>25</v>
      </c>
    </row>
    <row r="30" spans="1:4" x14ac:dyDescent="0.2">
      <c r="A30" s="18" t="s">
        <v>26</v>
      </c>
    </row>
    <row r="31" spans="1:4" x14ac:dyDescent="0.2">
      <c r="A31" s="12" t="s">
        <v>27</v>
      </c>
    </row>
    <row r="32" spans="1:4" x14ac:dyDescent="0.2">
      <c r="A32" s="19" t="s">
        <v>28</v>
      </c>
    </row>
    <row r="33" spans="1:1" x14ac:dyDescent="0.2">
      <c r="A33" s="1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"/>
  <sheetViews>
    <sheetView showGridLines="0" tabSelected="1" zoomScaleNormal="100" workbookViewId="0">
      <pane xSplit="1" ySplit="3" topLeftCell="B39" activePane="bottomRight" state="frozen"/>
      <selection pane="topRight" activeCell="B1" sqref="B1"/>
      <selection pane="bottomLeft" activeCell="A4" sqref="A4"/>
      <selection pane="bottomRight" activeCell="D20" sqref="D20"/>
    </sheetView>
  </sheetViews>
  <sheetFormatPr baseColWidth="10" defaultColWidth="8.6640625" defaultRowHeight="15" x14ac:dyDescent="0.2"/>
  <cols>
    <col min="1" max="1" width="48" customWidth="1"/>
    <col min="2" max="11" width="11" customWidth="1"/>
    <col min="12" max="12" width="40" customWidth="1"/>
  </cols>
  <sheetData>
    <row r="1" spans="1:11" ht="16" x14ac:dyDescent="0.2">
      <c r="A1" s="1" t="s">
        <v>30</v>
      </c>
    </row>
    <row r="2" spans="1:11" x14ac:dyDescent="0.2">
      <c r="A2" s="2" t="s">
        <v>31</v>
      </c>
    </row>
    <row r="3" spans="1:11" x14ac:dyDescent="0.2">
      <c r="B3" s="20" t="s">
        <v>32</v>
      </c>
      <c r="C3" s="20" t="s">
        <v>33</v>
      </c>
      <c r="D3" s="20" t="s">
        <v>34</v>
      </c>
      <c r="E3" s="20" t="s">
        <v>35</v>
      </c>
      <c r="F3" s="20" t="s">
        <v>36</v>
      </c>
      <c r="G3" s="20" t="s">
        <v>37</v>
      </c>
      <c r="H3" s="20" t="s">
        <v>38</v>
      </c>
      <c r="I3" s="20" t="s">
        <v>39</v>
      </c>
      <c r="J3" s="20" t="s">
        <v>40</v>
      </c>
      <c r="K3" s="20" t="s">
        <v>41</v>
      </c>
    </row>
    <row r="4" spans="1:11" x14ac:dyDescent="0.2">
      <c r="A4" s="4" t="s">
        <v>42</v>
      </c>
      <c r="B4" s="21">
        <v>27716</v>
      </c>
      <c r="C4" s="21">
        <v>32569</v>
      </c>
      <c r="D4" s="21">
        <v>35947</v>
      </c>
      <c r="E4" s="21">
        <v>38632</v>
      </c>
      <c r="F4" s="21">
        <v>39864</v>
      </c>
      <c r="G4" s="22">
        <f>F4*(1+G17)</f>
        <v>42255.840000000004</v>
      </c>
      <c r="H4" s="22">
        <f>G4*(1+H17)</f>
        <v>44579.911200000002</v>
      </c>
      <c r="I4" s="22">
        <f>H4*(1+I17)</f>
        <v>46808.906760000005</v>
      </c>
      <c r="J4" s="22">
        <f>I4*(1+J17)</f>
        <v>48915.307564200004</v>
      </c>
      <c r="K4" s="22">
        <f>J4*(1+K17)</f>
        <v>50871.919866768003</v>
      </c>
    </row>
    <row r="5" spans="1:11" x14ac:dyDescent="0.2">
      <c r="A5" s="4" t="s">
        <v>43</v>
      </c>
      <c r="B5" s="23" t="s">
        <v>44</v>
      </c>
      <c r="C5" s="9">
        <f t="shared" ref="C5:K5" si="0">(C4-B4)/B4</f>
        <v>0.17509741665463993</v>
      </c>
      <c r="D5" s="9">
        <f t="shared" si="0"/>
        <v>0.10371825969480181</v>
      </c>
      <c r="E5" s="9">
        <f t="shared" si="0"/>
        <v>7.4693298467187808E-2</v>
      </c>
      <c r="F5" s="9">
        <f t="shared" si="0"/>
        <v>3.1890660592255128E-2</v>
      </c>
      <c r="G5" s="9">
        <f t="shared" si="0"/>
        <v>6.0000000000000095E-2</v>
      </c>
      <c r="H5" s="9">
        <f t="shared" si="0"/>
        <v>5.4999999999999959E-2</v>
      </c>
      <c r="I5" s="9">
        <f t="shared" si="0"/>
        <v>5.0000000000000065E-2</v>
      </c>
      <c r="J5" s="9">
        <f t="shared" si="0"/>
        <v>4.4999999999999964E-2</v>
      </c>
      <c r="K5" s="9">
        <f t="shared" si="0"/>
        <v>3.9999999999999973E-2</v>
      </c>
    </row>
    <row r="6" spans="1:11" x14ac:dyDescent="0.2">
      <c r="A6" s="4" t="s">
        <v>45</v>
      </c>
      <c r="B6" s="21">
        <v>5558</v>
      </c>
      <c r="C6" s="21">
        <v>6779</v>
      </c>
      <c r="D6" s="21">
        <v>8148</v>
      </c>
      <c r="E6" s="21">
        <v>8878</v>
      </c>
      <c r="F6" s="21">
        <v>9385</v>
      </c>
      <c r="G6" s="22">
        <f>G8+G12</f>
        <v>10120.273680000002</v>
      </c>
      <c r="H6" s="22">
        <f>H8+H12</f>
        <v>10676.888732400001</v>
      </c>
      <c r="I6" s="22">
        <f>I8+I12</f>
        <v>11257.542075780002</v>
      </c>
      <c r="J6" s="22">
        <f>J8+J12</f>
        <v>11764.131469190101</v>
      </c>
      <c r="K6" s="22">
        <f>K8+K12</f>
        <v>12234.696727957706</v>
      </c>
    </row>
    <row r="7" spans="1:11" x14ac:dyDescent="0.2">
      <c r="A7" s="4" t="s">
        <v>46</v>
      </c>
      <c r="B7" s="9">
        <f t="shared" ref="B7:K7" si="1">B6/B4</f>
        <v>0.20053398758839661</v>
      </c>
      <c r="C7" s="9">
        <f t="shared" si="1"/>
        <v>0.20814271239522245</v>
      </c>
      <c r="D7" s="9">
        <f t="shared" si="1"/>
        <v>0.22666703758310847</v>
      </c>
      <c r="E7" s="9">
        <f t="shared" si="1"/>
        <v>0.22980948436529303</v>
      </c>
      <c r="F7" s="9">
        <f t="shared" si="1"/>
        <v>0.23542544651816175</v>
      </c>
      <c r="G7" s="9">
        <f t="shared" si="1"/>
        <v>0.23950000000000002</v>
      </c>
      <c r="H7" s="9">
        <f t="shared" si="1"/>
        <v>0.23949999999999999</v>
      </c>
      <c r="I7" s="9">
        <f t="shared" si="1"/>
        <v>0.24050000000000002</v>
      </c>
      <c r="J7" s="9">
        <f t="shared" si="1"/>
        <v>0.24049999999999999</v>
      </c>
      <c r="K7" s="9">
        <f t="shared" si="1"/>
        <v>0.24050000000000002</v>
      </c>
    </row>
    <row r="8" spans="1:11" x14ac:dyDescent="0.2">
      <c r="A8" s="4" t="s">
        <v>47</v>
      </c>
      <c r="B8" s="21">
        <v>4264</v>
      </c>
      <c r="C8" s="21">
        <v>5571</v>
      </c>
      <c r="D8" s="21">
        <v>6856</v>
      </c>
      <c r="E8" s="21">
        <v>7594</v>
      </c>
      <c r="F8" s="21">
        <v>8045</v>
      </c>
      <c r="G8" s="22">
        <f>G4*G18</f>
        <v>8535.6796800000011</v>
      </c>
      <c r="H8" s="22">
        <f>H4*H18</f>
        <v>9005.1420624000002</v>
      </c>
      <c r="I8" s="22">
        <f>I4*I18</f>
        <v>9502.2080722800019</v>
      </c>
      <c r="J8" s="22">
        <f>J4*J18</f>
        <v>9929.8074355326007</v>
      </c>
      <c r="K8" s="22">
        <f>K4*K18</f>
        <v>10326.999732953906</v>
      </c>
    </row>
    <row r="9" spans="1:11" x14ac:dyDescent="0.2">
      <c r="A9" s="4" t="s">
        <v>48</v>
      </c>
      <c r="B9" s="9">
        <f t="shared" ref="B9:K9" si="2">B8/B4</f>
        <v>0.15384615384615385</v>
      </c>
      <c r="C9" s="9">
        <f t="shared" si="2"/>
        <v>0.17105222757837207</v>
      </c>
      <c r="D9" s="9">
        <f t="shared" si="2"/>
        <v>0.19072523437282665</v>
      </c>
      <c r="E9" s="9">
        <f t="shared" si="2"/>
        <v>0.19657278939739076</v>
      </c>
      <c r="F9" s="9">
        <f t="shared" si="2"/>
        <v>0.20181115793698576</v>
      </c>
      <c r="G9" s="9">
        <f t="shared" si="2"/>
        <v>0.20200000000000001</v>
      </c>
      <c r="H9" s="9">
        <f t="shared" si="2"/>
        <v>0.20199999999999999</v>
      </c>
      <c r="I9" s="9">
        <f t="shared" si="2"/>
        <v>0.20300000000000001</v>
      </c>
      <c r="J9" s="9">
        <f t="shared" si="2"/>
        <v>0.20299999999999999</v>
      </c>
      <c r="K9" s="9">
        <f t="shared" si="2"/>
        <v>0.20300000000000001</v>
      </c>
    </row>
    <row r="10" spans="1:11" x14ac:dyDescent="0.2">
      <c r="A10" s="4" t="s">
        <v>219</v>
      </c>
      <c r="B10" s="21">
        <v>3243</v>
      </c>
      <c r="C10" s="21">
        <v>4130</v>
      </c>
      <c r="D10" s="21">
        <v>5381</v>
      </c>
      <c r="E10" s="21">
        <v>5866</v>
      </c>
      <c r="F10" s="21">
        <v>6220</v>
      </c>
      <c r="G10" s="22">
        <f>G8*(1-G19)</f>
        <v>6615.1517520000007</v>
      </c>
      <c r="H10" s="22">
        <f>H8*(1-H19)</f>
        <v>6978.9850983599999</v>
      </c>
      <c r="I10" s="22">
        <f>I8*(1-I19)</f>
        <v>7316.7002156556018</v>
      </c>
      <c r="J10" s="22">
        <f>J8*(1-J19)</f>
        <v>7645.9517253601025</v>
      </c>
      <c r="K10" s="22">
        <f>K8*(1-K19)</f>
        <v>7951.7897943745074</v>
      </c>
    </row>
    <row r="11" spans="1:11" x14ac:dyDescent="0.2">
      <c r="A11" s="4" t="s">
        <v>220</v>
      </c>
      <c r="B11" s="9">
        <f t="shared" ref="B11:K11" si="3">B10/B4</f>
        <v>0.11700822629528071</v>
      </c>
      <c r="C11" s="9">
        <f t="shared" si="3"/>
        <v>0.12680770057416563</v>
      </c>
      <c r="D11" s="9">
        <f t="shared" si="3"/>
        <v>0.14969260299885942</v>
      </c>
      <c r="E11" s="9">
        <f t="shared" si="3"/>
        <v>0.15184303168357838</v>
      </c>
      <c r="F11" s="9">
        <f t="shared" si="3"/>
        <v>0.15603050371262292</v>
      </c>
      <c r="G11" s="9">
        <f t="shared" si="3"/>
        <v>0.15654999999999999</v>
      </c>
      <c r="H11" s="9">
        <f t="shared" si="3"/>
        <v>0.15654999999999999</v>
      </c>
      <c r="I11" s="9">
        <f t="shared" si="3"/>
        <v>0.15631000000000003</v>
      </c>
      <c r="J11" s="9">
        <f t="shared" si="3"/>
        <v>0.15631</v>
      </c>
      <c r="K11" s="9">
        <f t="shared" si="3"/>
        <v>0.15631</v>
      </c>
    </row>
    <row r="12" spans="1:11" x14ac:dyDescent="0.2">
      <c r="A12" s="4" t="s">
        <v>49</v>
      </c>
      <c r="B12" s="22">
        <f>B6-B8</f>
        <v>1294</v>
      </c>
      <c r="C12" s="22">
        <f>C6-C8</f>
        <v>1208</v>
      </c>
      <c r="D12" s="22">
        <f>D6-D8</f>
        <v>1292</v>
      </c>
      <c r="E12" s="22">
        <f>E6-E8</f>
        <v>1284</v>
      </c>
      <c r="F12" s="22">
        <f>F6-F8</f>
        <v>1340</v>
      </c>
      <c r="G12" s="22">
        <f>G4*G20</f>
        <v>1584.5940000000001</v>
      </c>
      <c r="H12" s="22">
        <f>H4*H20</f>
        <v>1671.74667</v>
      </c>
      <c r="I12" s="22">
        <f>I4*I20</f>
        <v>1755.3340035000001</v>
      </c>
      <c r="J12" s="22">
        <f>J4*J20</f>
        <v>1834.3240336575002</v>
      </c>
      <c r="K12" s="22">
        <f>K4*K20</f>
        <v>1907.6969950038001</v>
      </c>
    </row>
    <row r="13" spans="1:11" x14ac:dyDescent="0.2">
      <c r="A13" s="4" t="s">
        <v>50</v>
      </c>
      <c r="B13" s="9">
        <f t="shared" ref="B13:K13" si="4">B12/B4</f>
        <v>4.6687833742242744E-2</v>
      </c>
      <c r="C13" s="9">
        <f t="shared" si="4"/>
        <v>3.7090484816850379E-2</v>
      </c>
      <c r="D13" s="9">
        <f t="shared" si="4"/>
        <v>3.5941803210281807E-2</v>
      </c>
      <c r="E13" s="9">
        <f t="shared" si="4"/>
        <v>3.3236694967902256E-2</v>
      </c>
      <c r="F13" s="9">
        <f t="shared" si="4"/>
        <v>3.3614288581175995E-2</v>
      </c>
      <c r="G13" s="9">
        <f t="shared" si="4"/>
        <v>3.7499999999999999E-2</v>
      </c>
      <c r="H13" s="9">
        <f t="shared" si="4"/>
        <v>3.7499999999999999E-2</v>
      </c>
      <c r="I13" s="9">
        <f t="shared" si="4"/>
        <v>3.7499999999999999E-2</v>
      </c>
      <c r="J13" s="9">
        <f t="shared" si="4"/>
        <v>3.7499999999999999E-2</v>
      </c>
      <c r="K13" s="9">
        <f t="shared" si="4"/>
        <v>3.7499999999999999E-2</v>
      </c>
    </row>
    <row r="14" spans="1:11" x14ac:dyDescent="0.2">
      <c r="A14" s="2" t="s">
        <v>51</v>
      </c>
    </row>
    <row r="16" spans="1:11" x14ac:dyDescent="0.2">
      <c r="A16" s="3" t="s">
        <v>52</v>
      </c>
    </row>
    <row r="17" spans="1:12" x14ac:dyDescent="0.2">
      <c r="A17" s="4" t="s">
        <v>53</v>
      </c>
      <c r="G17" s="24">
        <v>0.06</v>
      </c>
      <c r="H17" s="24">
        <v>5.5E-2</v>
      </c>
      <c r="I17" s="24">
        <v>0.05</v>
      </c>
      <c r="J17" s="24">
        <v>4.4999999999999998E-2</v>
      </c>
      <c r="K17" s="24">
        <v>0.04</v>
      </c>
    </row>
    <row r="18" spans="1:12" x14ac:dyDescent="0.2">
      <c r="A18" s="4" t="s">
        <v>54</v>
      </c>
      <c r="G18" s="24">
        <v>0.20200000000000001</v>
      </c>
      <c r="H18" s="24">
        <v>0.20200000000000001</v>
      </c>
      <c r="I18" s="24">
        <v>0.20300000000000001</v>
      </c>
      <c r="J18" s="24">
        <v>0.20300000000000001</v>
      </c>
      <c r="K18" s="24">
        <v>0.20300000000000001</v>
      </c>
    </row>
    <row r="19" spans="1:12" x14ac:dyDescent="0.2">
      <c r="A19" s="4" t="s">
        <v>55</v>
      </c>
      <c r="G19" s="24">
        <v>0.22500000000000001</v>
      </c>
      <c r="H19" s="24">
        <v>0.22500000000000001</v>
      </c>
      <c r="I19" s="24">
        <v>0.23</v>
      </c>
      <c r="J19" s="24">
        <v>0.23</v>
      </c>
      <c r="K19" s="24">
        <v>0.23</v>
      </c>
    </row>
    <row r="20" spans="1:12" x14ac:dyDescent="0.2">
      <c r="A20" s="4" t="s">
        <v>50</v>
      </c>
      <c r="G20" s="24">
        <v>3.7499999999999999E-2</v>
      </c>
      <c r="H20" s="24">
        <v>3.7499999999999999E-2</v>
      </c>
      <c r="I20" s="24">
        <v>3.7499999999999999E-2</v>
      </c>
      <c r="J20" s="24">
        <v>3.7499999999999999E-2</v>
      </c>
      <c r="K20" s="24">
        <v>3.7499999999999999E-2</v>
      </c>
    </row>
    <row r="21" spans="1:12" x14ac:dyDescent="0.2">
      <c r="A21" s="2" t="s">
        <v>56</v>
      </c>
    </row>
    <row r="22" spans="1:12" x14ac:dyDescent="0.2">
      <c r="A22" s="4" t="s">
        <v>57</v>
      </c>
      <c r="G22" s="24">
        <v>0.02</v>
      </c>
      <c r="H22" s="24">
        <v>0.02</v>
      </c>
      <c r="I22" s="24">
        <v>0.02</v>
      </c>
      <c r="J22" s="24">
        <v>1.4999999999999999E-2</v>
      </c>
      <c r="K22" s="24">
        <v>1.4999999999999999E-2</v>
      </c>
      <c r="L22" s="25" t="s">
        <v>58</v>
      </c>
    </row>
    <row r="23" spans="1:12" x14ac:dyDescent="0.2">
      <c r="A23" s="4" t="s">
        <v>59</v>
      </c>
      <c r="G23" s="9">
        <f>G17-G22</f>
        <v>3.9999999999999994E-2</v>
      </c>
      <c r="H23" s="9">
        <f>H17-H22</f>
        <v>3.5000000000000003E-2</v>
      </c>
      <c r="I23" s="9">
        <f>I17-I22</f>
        <v>3.0000000000000002E-2</v>
      </c>
      <c r="J23" s="9">
        <f>J17-J22</f>
        <v>0.03</v>
      </c>
      <c r="K23" s="9">
        <f>K17-K22</f>
        <v>2.5000000000000001E-2</v>
      </c>
    </row>
    <row r="26" spans="1:12" x14ac:dyDescent="0.2">
      <c r="A26" s="3" t="s">
        <v>60</v>
      </c>
    </row>
    <row r="27" spans="1:12" x14ac:dyDescent="0.2">
      <c r="A27" s="4" t="s">
        <v>61</v>
      </c>
      <c r="E27" s="21">
        <v>2672</v>
      </c>
      <c r="F27" s="21">
        <v>2712</v>
      </c>
    </row>
    <row r="28" spans="1:12" x14ac:dyDescent="0.2">
      <c r="A28" s="4" t="s">
        <v>62</v>
      </c>
      <c r="E28" s="9">
        <f>E27/E4</f>
        <v>6.916545868709878E-2</v>
      </c>
      <c r="F28" s="9">
        <f>F27/F4</f>
        <v>6.8031306441902473E-2</v>
      </c>
    </row>
    <row r="29" spans="1:12" x14ac:dyDescent="0.2">
      <c r="A29" s="4" t="s">
        <v>63</v>
      </c>
      <c r="E29" s="21">
        <v>-198</v>
      </c>
      <c r="F29" s="21">
        <v>-803</v>
      </c>
      <c r="L29" s="25" t="s">
        <v>64</v>
      </c>
    </row>
    <row r="30" spans="1:12" x14ac:dyDescent="0.2">
      <c r="A30" s="4" t="s">
        <v>65</v>
      </c>
      <c r="E30" s="9">
        <f>E29/E4</f>
        <v>-5.1252847380410024E-3</v>
      </c>
      <c r="F30" s="9">
        <f>F29/F4</f>
        <v>-2.0143487858719646E-2</v>
      </c>
    </row>
    <row r="31" spans="1:12" x14ac:dyDescent="0.2">
      <c r="A31" s="4" t="s">
        <v>66</v>
      </c>
      <c r="G31" s="24">
        <v>6.9000000000000006E-2</v>
      </c>
      <c r="H31" s="24">
        <v>6.9000000000000006E-2</v>
      </c>
      <c r="I31" s="24">
        <v>6.9000000000000006E-2</v>
      </c>
      <c r="J31" s="24">
        <v>6.9000000000000006E-2</v>
      </c>
      <c r="K31" s="24">
        <v>6.9000000000000006E-2</v>
      </c>
      <c r="L31" s="54" t="s">
        <v>221</v>
      </c>
    </row>
    <row r="32" spans="1:12" x14ac:dyDescent="0.2">
      <c r="A32" s="4" t="s">
        <v>67</v>
      </c>
      <c r="G32" s="24">
        <v>-5.0000000000000001E-3</v>
      </c>
      <c r="H32" s="24">
        <v>-5.0000000000000001E-3</v>
      </c>
      <c r="I32" s="24">
        <v>-5.0000000000000001E-3</v>
      </c>
      <c r="J32" s="24">
        <v>-5.0000000000000001E-3</v>
      </c>
      <c r="K32" s="24">
        <v>-5.0000000000000001E-3</v>
      </c>
    </row>
    <row r="34" spans="1:7" x14ac:dyDescent="0.2">
      <c r="A34" s="3" t="s">
        <v>68</v>
      </c>
    </row>
    <row r="35" spans="1:7" x14ac:dyDescent="0.2">
      <c r="A35" s="4" t="s">
        <v>69</v>
      </c>
      <c r="E35" s="22">
        <f>E8*(1-$F$54)+E12-E27+E29</f>
        <v>4261.38</v>
      </c>
      <c r="F35" s="22">
        <f>F8*(1-$F$54)+F12-F27+F29</f>
        <v>4019.6500000000005</v>
      </c>
    </row>
    <row r="36" spans="1:7" x14ac:dyDescent="0.2">
      <c r="A36" s="4" t="s">
        <v>70</v>
      </c>
      <c r="E36" s="9">
        <f>E35/E4</f>
        <v>0.11030699937875336</v>
      </c>
      <c r="F36" s="9">
        <f>F35/F4</f>
        <v>0.10083408589203292</v>
      </c>
    </row>
    <row r="37" spans="1:7" x14ac:dyDescent="0.2">
      <c r="A37" s="2" t="s">
        <v>71</v>
      </c>
    </row>
    <row r="39" spans="1:7" x14ac:dyDescent="0.2">
      <c r="A39" s="3" t="s">
        <v>72</v>
      </c>
    </row>
    <row r="40" spans="1:7" x14ac:dyDescent="0.2">
      <c r="A40" s="4" t="s">
        <v>73</v>
      </c>
      <c r="F40" s="26">
        <v>3116.1</v>
      </c>
    </row>
    <row r="41" spans="1:7" x14ac:dyDescent="0.2">
      <c r="A41" s="4" t="s">
        <v>3</v>
      </c>
      <c r="F41" s="27">
        <v>57.28</v>
      </c>
      <c r="G41" s="25" t="s">
        <v>74</v>
      </c>
    </row>
    <row r="42" spans="1:7" x14ac:dyDescent="0.2">
      <c r="A42" s="4" t="s">
        <v>75</v>
      </c>
      <c r="F42" s="21">
        <v>5935</v>
      </c>
      <c r="G42" s="25" t="s">
        <v>76</v>
      </c>
    </row>
    <row r="43" spans="1:7" x14ac:dyDescent="0.2">
      <c r="A43" s="4" t="s">
        <v>77</v>
      </c>
      <c r="F43" s="21">
        <v>10960</v>
      </c>
      <c r="G43" s="25" t="s">
        <v>78</v>
      </c>
    </row>
    <row r="44" spans="1:7" x14ac:dyDescent="0.2">
      <c r="A44" s="4" t="s">
        <v>79</v>
      </c>
      <c r="F44" s="24">
        <v>2.5000000000000001E-2</v>
      </c>
    </row>
    <row r="45" spans="1:7" x14ac:dyDescent="0.2">
      <c r="A45" s="4" t="s">
        <v>80</v>
      </c>
      <c r="F45" s="28">
        <f>F62</f>
        <v>8.0737121142354901E-2</v>
      </c>
    </row>
    <row r="47" spans="1:7" x14ac:dyDescent="0.2">
      <c r="A47" s="3" t="s">
        <v>81</v>
      </c>
    </row>
    <row r="48" spans="1:7" x14ac:dyDescent="0.2">
      <c r="A48" s="4" t="s">
        <v>82</v>
      </c>
      <c r="F48" s="24">
        <v>3.3000000000000002E-2</v>
      </c>
      <c r="G48" s="25" t="s">
        <v>83</v>
      </c>
    </row>
    <row r="49" spans="1:7" x14ac:dyDescent="0.2">
      <c r="A49" s="4" t="s">
        <v>84</v>
      </c>
      <c r="F49" s="29">
        <v>0.9</v>
      </c>
      <c r="G49" s="25" t="s">
        <v>85</v>
      </c>
    </row>
    <row r="50" spans="1:7" x14ac:dyDescent="0.2">
      <c r="A50" s="4" t="s">
        <v>86</v>
      </c>
      <c r="F50" s="24">
        <v>5.5E-2</v>
      </c>
    </row>
    <row r="51" spans="1:7" x14ac:dyDescent="0.2">
      <c r="A51" s="4" t="s">
        <v>87</v>
      </c>
      <c r="F51" s="28">
        <f>F48+(F49*F50)</f>
        <v>8.2500000000000004E-2</v>
      </c>
    </row>
    <row r="53" spans="1:7" x14ac:dyDescent="0.2">
      <c r="A53" s="4" t="s">
        <v>88</v>
      </c>
      <c r="F53" s="24">
        <v>3.5999999999999997E-2</v>
      </c>
      <c r="G53" s="25" t="s">
        <v>89</v>
      </c>
    </row>
    <row r="54" spans="1:7" x14ac:dyDescent="0.2">
      <c r="A54" s="4" t="s">
        <v>90</v>
      </c>
      <c r="F54" s="24">
        <v>0.23</v>
      </c>
    </row>
    <row r="55" spans="1:7" x14ac:dyDescent="0.2">
      <c r="A55" s="4" t="s">
        <v>91</v>
      </c>
      <c r="F55" s="28">
        <f>F53*(1-F54)</f>
        <v>2.7719999999999998E-2</v>
      </c>
    </row>
    <row r="57" spans="1:7" x14ac:dyDescent="0.2">
      <c r="A57" s="4" t="s">
        <v>5</v>
      </c>
      <c r="F57" s="22">
        <f>F40*F41</f>
        <v>178490.20799999998</v>
      </c>
    </row>
    <row r="58" spans="1:7" x14ac:dyDescent="0.2">
      <c r="A58" s="4" t="s">
        <v>92</v>
      </c>
      <c r="F58" s="22">
        <f>F42</f>
        <v>5935</v>
      </c>
    </row>
    <row r="59" spans="1:7" x14ac:dyDescent="0.2">
      <c r="A59" s="4" t="s">
        <v>93</v>
      </c>
      <c r="F59" s="22">
        <f>F57+F58</f>
        <v>184425.20799999998</v>
      </c>
    </row>
    <row r="60" spans="1:7" x14ac:dyDescent="0.2">
      <c r="A60" s="4" t="s">
        <v>94</v>
      </c>
      <c r="F60" s="9">
        <f>F57/F59</f>
        <v>0.96781893286518617</v>
      </c>
    </row>
    <row r="61" spans="1:7" x14ac:dyDescent="0.2">
      <c r="A61" s="4" t="s">
        <v>95</v>
      </c>
      <c r="F61" s="9">
        <f>F58/F59</f>
        <v>3.2181067134813807E-2</v>
      </c>
    </row>
    <row r="62" spans="1:7" x14ac:dyDescent="0.2">
      <c r="A62" s="4" t="s">
        <v>80</v>
      </c>
      <c r="F62" s="30">
        <f>(F60*F51)+(F61*F55)</f>
        <v>8.0737121142354901E-2</v>
      </c>
    </row>
    <row r="64" spans="1:7" x14ac:dyDescent="0.2">
      <c r="A64" s="3" t="s">
        <v>96</v>
      </c>
    </row>
    <row r="65" spans="1:1" x14ac:dyDescent="0.2">
      <c r="A65" s="25" t="s">
        <v>97</v>
      </c>
    </row>
    <row r="66" spans="1:1" x14ac:dyDescent="0.2">
      <c r="A66" s="25" t="s">
        <v>98</v>
      </c>
    </row>
    <row r="67" spans="1:1" x14ac:dyDescent="0.2">
      <c r="A67" s="25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showGridLines="0" zoomScaleNormal="100" workbookViewId="0">
      <pane xSplit="1" ySplit="3" topLeftCell="B33" activePane="bottomRight" state="frozen"/>
      <selection pane="topRight" activeCell="B1" sqref="B1"/>
      <selection pane="bottomLeft" activeCell="A4" sqref="A4"/>
      <selection pane="bottomRight" activeCell="G58" sqref="G58"/>
    </sheetView>
  </sheetViews>
  <sheetFormatPr baseColWidth="10" defaultColWidth="8.6640625" defaultRowHeight="15" x14ac:dyDescent="0.2"/>
  <cols>
    <col min="1" max="1" width="44" customWidth="1"/>
    <col min="2" max="2" width="13" customWidth="1"/>
    <col min="3" max="7" width="12" customWidth="1"/>
  </cols>
  <sheetData>
    <row r="1" spans="1:6" ht="16" x14ac:dyDescent="0.2">
      <c r="A1" s="1" t="s">
        <v>100</v>
      </c>
    </row>
    <row r="2" spans="1:6" x14ac:dyDescent="0.2">
      <c r="A2" s="2" t="s">
        <v>101</v>
      </c>
    </row>
    <row r="3" spans="1:6" x14ac:dyDescent="0.2">
      <c r="B3" s="20" t="s">
        <v>37</v>
      </c>
      <c r="C3" s="20" t="s">
        <v>38</v>
      </c>
      <c r="D3" s="20" t="s">
        <v>39</v>
      </c>
      <c r="E3" s="20" t="s">
        <v>40</v>
      </c>
      <c r="F3" s="20" t="s">
        <v>41</v>
      </c>
    </row>
    <row r="5" spans="1:6" x14ac:dyDescent="0.2">
      <c r="A5" s="3" t="s">
        <v>102</v>
      </c>
    </row>
    <row r="6" spans="1:6" x14ac:dyDescent="0.2">
      <c r="A6" s="4" t="s">
        <v>42</v>
      </c>
      <c r="B6" s="7">
        <f>Assumptions!G4</f>
        <v>42255.840000000004</v>
      </c>
      <c r="C6" s="7">
        <f>Assumptions!H4</f>
        <v>44579.911200000002</v>
      </c>
      <c r="D6" s="7">
        <f>Assumptions!I4</f>
        <v>46808.906760000005</v>
      </c>
      <c r="E6" s="7">
        <f>Assumptions!J4</f>
        <v>48915.307564200004</v>
      </c>
      <c r="F6" s="7">
        <f>Assumptions!K4</f>
        <v>50871.919866768003</v>
      </c>
    </row>
    <row r="7" spans="1:6" x14ac:dyDescent="0.2">
      <c r="A7" s="4" t="s">
        <v>47</v>
      </c>
      <c r="B7" s="7">
        <f>Assumptions!G8</f>
        <v>8535.6796800000011</v>
      </c>
      <c r="C7" s="7">
        <f>Assumptions!H8</f>
        <v>9005.1420624000002</v>
      </c>
      <c r="D7" s="7">
        <f>Assumptions!I8</f>
        <v>9502.2080722800019</v>
      </c>
      <c r="E7" s="7">
        <f>Assumptions!J8</f>
        <v>9929.8074355326007</v>
      </c>
      <c r="F7" s="7">
        <f>Assumptions!K8</f>
        <v>10326.999732953906</v>
      </c>
    </row>
    <row r="8" spans="1:6" x14ac:dyDescent="0.2">
      <c r="A8" s="4" t="s">
        <v>55</v>
      </c>
      <c r="B8" s="15">
        <f>Assumptions!G19</f>
        <v>0.22500000000000001</v>
      </c>
      <c r="C8" s="15">
        <f>Assumptions!H19</f>
        <v>0.22500000000000001</v>
      </c>
      <c r="D8" s="15">
        <f>Assumptions!I19</f>
        <v>0.23</v>
      </c>
      <c r="E8" s="15">
        <f>Assumptions!J19</f>
        <v>0.23</v>
      </c>
      <c r="F8" s="15">
        <f>Assumptions!K19</f>
        <v>0.23</v>
      </c>
    </row>
    <row r="9" spans="1:6" x14ac:dyDescent="0.2">
      <c r="A9" s="4" t="s">
        <v>103</v>
      </c>
      <c r="B9" s="22">
        <f>B7*(1-B8)</f>
        <v>6615.1517520000007</v>
      </c>
      <c r="C9" s="22">
        <f>C7*(1-C8)</f>
        <v>6978.9850983599999</v>
      </c>
      <c r="D9" s="22">
        <f>D7*(1-D8)</f>
        <v>7316.7002156556018</v>
      </c>
      <c r="E9" s="22">
        <f>E7*(1-E8)</f>
        <v>7645.9517253601025</v>
      </c>
      <c r="F9" s="22">
        <f>F7*(1-F8)</f>
        <v>7951.7897943745074</v>
      </c>
    </row>
    <row r="10" spans="1:6" x14ac:dyDescent="0.2">
      <c r="A10" s="4" t="s">
        <v>104</v>
      </c>
      <c r="B10" s="7">
        <f>Assumptions!G12</f>
        <v>1584.5940000000001</v>
      </c>
      <c r="C10" s="7">
        <f>Assumptions!H12</f>
        <v>1671.74667</v>
      </c>
      <c r="D10" s="7">
        <f>Assumptions!I12</f>
        <v>1755.3340035000001</v>
      </c>
      <c r="E10" s="7">
        <f>Assumptions!J12</f>
        <v>1834.3240336575002</v>
      </c>
      <c r="F10" s="7">
        <f>Assumptions!K12</f>
        <v>1907.6969950038001</v>
      </c>
    </row>
    <row r="11" spans="1:6" x14ac:dyDescent="0.2">
      <c r="A11" s="4" t="s">
        <v>105</v>
      </c>
      <c r="B11" s="7">
        <f>-B6*Assumptions!G31</f>
        <v>-2915.6529600000003</v>
      </c>
      <c r="C11" s="7">
        <f>-C6*Assumptions!H31</f>
        <v>-3076.0138728000006</v>
      </c>
      <c r="D11" s="7">
        <f>-D6*Assumptions!I31</f>
        <v>-3229.8145664400008</v>
      </c>
      <c r="E11" s="7">
        <f>-E6*Assumptions!J31</f>
        <v>-3375.1562219298007</v>
      </c>
      <c r="F11" s="7">
        <f>-F6*Assumptions!K31</f>
        <v>-3510.1624708069926</v>
      </c>
    </row>
    <row r="12" spans="1:6" x14ac:dyDescent="0.2">
      <c r="A12" s="4" t="s">
        <v>106</v>
      </c>
      <c r="B12" s="7">
        <f>B6*Assumptions!G32</f>
        <v>-211.27920000000003</v>
      </c>
      <c r="C12" s="7">
        <f>C6*Assumptions!H32</f>
        <v>-222.89955600000002</v>
      </c>
      <c r="D12" s="7">
        <f>D6*Assumptions!I32</f>
        <v>-234.04453380000004</v>
      </c>
      <c r="E12" s="7">
        <f>E6*Assumptions!J32</f>
        <v>-244.57653782100002</v>
      </c>
      <c r="F12" s="7">
        <f>F6*Assumptions!K32</f>
        <v>-254.35959933384001</v>
      </c>
    </row>
    <row r="13" spans="1:6" x14ac:dyDescent="0.2">
      <c r="A13" s="31" t="s">
        <v>107</v>
      </c>
      <c r="B13" s="32">
        <f>SUM(B9:B12)</f>
        <v>5072.8135920000004</v>
      </c>
      <c r="C13" s="32">
        <f>SUM(C9:C12)</f>
        <v>5351.818339559999</v>
      </c>
      <c r="D13" s="32">
        <f>SUM(D9:D12)</f>
        <v>5608.1751189156003</v>
      </c>
      <c r="E13" s="32">
        <f>SUM(E9:E12)</f>
        <v>5860.5429992668014</v>
      </c>
      <c r="F13" s="32">
        <f>SUM(F9:F12)</f>
        <v>6094.9647192374759</v>
      </c>
    </row>
    <row r="15" spans="1:6" x14ac:dyDescent="0.2">
      <c r="A15" s="3" t="s">
        <v>108</v>
      </c>
    </row>
    <row r="16" spans="1:6" x14ac:dyDescent="0.2">
      <c r="A16" s="4" t="s">
        <v>80</v>
      </c>
      <c r="B16" s="16">
        <f>Assumptions!F45</f>
        <v>8.0737121142354901E-2</v>
      </c>
    </row>
    <row r="17" spans="1:6" x14ac:dyDescent="0.2">
      <c r="A17" s="4" t="s">
        <v>109</v>
      </c>
      <c r="B17" s="33">
        <v>0.5</v>
      </c>
      <c r="C17" s="33">
        <v>1.5</v>
      </c>
      <c r="D17" s="33">
        <v>2.5</v>
      </c>
      <c r="E17" s="33">
        <v>3.5</v>
      </c>
      <c r="F17" s="33">
        <v>4.5</v>
      </c>
    </row>
    <row r="18" spans="1:6" x14ac:dyDescent="0.2">
      <c r="A18" s="4" t="s">
        <v>110</v>
      </c>
      <c r="B18" s="34">
        <f>1/((1+$B$16)^B17)</f>
        <v>0.96192223926259102</v>
      </c>
      <c r="C18" s="34">
        <f>1/((1+$B$16)^C17)</f>
        <v>0.8900612558267873</v>
      </c>
      <c r="D18" s="34">
        <f>1/((1+$B$16)^D17)</f>
        <v>0.82356869067843219</v>
      </c>
      <c r="E18" s="34">
        <f>1/((1+$B$16)^E17)</f>
        <v>0.76204349287818296</v>
      </c>
      <c r="F18" s="34">
        <f>1/((1+$B$16)^F17)</f>
        <v>0.70511457224000218</v>
      </c>
    </row>
    <row r="19" spans="1:6" x14ac:dyDescent="0.2">
      <c r="A19" s="4" t="s">
        <v>111</v>
      </c>
      <c r="B19" s="22">
        <f>B13*B18</f>
        <v>4879.6522097783482</v>
      </c>
      <c r="C19" s="22">
        <f>C13*C18</f>
        <v>4763.4461522656047</v>
      </c>
      <c r="D19" s="22">
        <f>D13*D18</f>
        <v>4618.7174397806821</v>
      </c>
      <c r="E19" s="22">
        <f>E13*E18</f>
        <v>4465.9886573240556</v>
      </c>
      <c r="F19" s="22">
        <f>F13*F18</f>
        <v>4297.6484408230381</v>
      </c>
    </row>
    <row r="21" spans="1:6" x14ac:dyDescent="0.2">
      <c r="A21" s="3" t="s">
        <v>112</v>
      </c>
    </row>
    <row r="22" spans="1:6" x14ac:dyDescent="0.2">
      <c r="A22" s="4" t="s">
        <v>79</v>
      </c>
      <c r="F22" s="15">
        <f>Assumptions!F44</f>
        <v>2.5000000000000001E-2</v>
      </c>
    </row>
    <row r="23" spans="1:6" x14ac:dyDescent="0.2">
      <c r="A23" s="4" t="s">
        <v>113</v>
      </c>
      <c r="F23" s="22">
        <f>F13</f>
        <v>6094.9647192374759</v>
      </c>
    </row>
    <row r="24" spans="1:6" x14ac:dyDescent="0.2">
      <c r="A24" s="4" t="s">
        <v>114</v>
      </c>
      <c r="F24" s="22">
        <f>(F23*(1+F22))/($B$16-F22)</f>
        <v>112085.78249426361</v>
      </c>
    </row>
    <row r="25" spans="1:6" x14ac:dyDescent="0.2">
      <c r="A25" s="4" t="s">
        <v>115</v>
      </c>
      <c r="F25" s="22">
        <f>F24*F18</f>
        <v>79033.318577628612</v>
      </c>
    </row>
    <row r="27" spans="1:6" x14ac:dyDescent="0.2">
      <c r="A27" s="3" t="s">
        <v>116</v>
      </c>
    </row>
    <row r="28" spans="1:6" x14ac:dyDescent="0.2">
      <c r="A28" s="4" t="s">
        <v>117</v>
      </c>
      <c r="B28" s="22">
        <f>SUM(B19:F19)</f>
        <v>23025.452899971729</v>
      </c>
    </row>
    <row r="29" spans="1:6" x14ac:dyDescent="0.2">
      <c r="A29" s="4" t="s">
        <v>115</v>
      </c>
      <c r="B29" s="22">
        <f>F25</f>
        <v>79033.318577628612</v>
      </c>
    </row>
    <row r="30" spans="1:6" x14ac:dyDescent="0.2">
      <c r="A30" s="4" t="s">
        <v>118</v>
      </c>
      <c r="B30" s="35">
        <f>B28+B29</f>
        <v>102058.77147760034</v>
      </c>
    </row>
    <row r="31" spans="1:6" x14ac:dyDescent="0.2">
      <c r="A31" s="4" t="s">
        <v>119</v>
      </c>
      <c r="B31" s="7">
        <f>-Assumptions!F42</f>
        <v>-5935</v>
      </c>
    </row>
    <row r="32" spans="1:6" x14ac:dyDescent="0.2">
      <c r="A32" s="4" t="s">
        <v>120</v>
      </c>
      <c r="B32" s="7">
        <f>Assumptions!F43</f>
        <v>10960</v>
      </c>
    </row>
    <row r="33" spans="1:3" x14ac:dyDescent="0.2">
      <c r="A33" s="4" t="s">
        <v>121</v>
      </c>
      <c r="B33" s="35">
        <f>SUM(B30:B32)</f>
        <v>107083.77147760034</v>
      </c>
    </row>
    <row r="34" spans="1:3" x14ac:dyDescent="0.2">
      <c r="A34" s="4" t="s">
        <v>4</v>
      </c>
      <c r="B34" s="6">
        <f>Assumptions!F40</f>
        <v>3116.1</v>
      </c>
    </row>
    <row r="35" spans="1:3" x14ac:dyDescent="0.2">
      <c r="A35" s="4" t="s">
        <v>122</v>
      </c>
      <c r="B35" s="36">
        <f>B33/B34</f>
        <v>34.364677474278857</v>
      </c>
    </row>
    <row r="36" spans="1:3" x14ac:dyDescent="0.2">
      <c r="A36" s="4" t="s">
        <v>3</v>
      </c>
      <c r="B36" s="5">
        <f>Assumptions!F41</f>
        <v>57.28</v>
      </c>
    </row>
    <row r="37" spans="1:3" x14ac:dyDescent="0.2">
      <c r="A37" s="4" t="s">
        <v>123</v>
      </c>
      <c r="B37" s="37">
        <f>(B35-B36)/B36</f>
        <v>-0.40005800498814847</v>
      </c>
    </row>
    <row r="39" spans="1:3" x14ac:dyDescent="0.2">
      <c r="A39" s="3" t="s">
        <v>124</v>
      </c>
    </row>
    <row r="40" spans="1:3" x14ac:dyDescent="0.2">
      <c r="A40" s="4" t="s">
        <v>23</v>
      </c>
      <c r="B40" s="9">
        <f>B29/B30</f>
        <v>0.77439025997853295</v>
      </c>
    </row>
    <row r="41" spans="1:3" x14ac:dyDescent="0.2">
      <c r="A41" s="4" t="s">
        <v>125</v>
      </c>
      <c r="B41" s="38">
        <f>F24/Assumptions!K6</f>
        <v>9.1613045248710208</v>
      </c>
      <c r="C41" s="25" t="s">
        <v>126</v>
      </c>
    </row>
    <row r="42" spans="1:3" x14ac:dyDescent="0.2">
      <c r="A42" s="4" t="s">
        <v>127</v>
      </c>
      <c r="B42" s="38">
        <f>(Assumptions!F57+Assumptions!F42-Assumptions!F43)/Assumptions!F6</f>
        <v>18.483240063931806</v>
      </c>
    </row>
    <row r="43" spans="1:3" x14ac:dyDescent="0.2">
      <c r="A43" s="4" t="s">
        <v>128</v>
      </c>
      <c r="B43" s="15">
        <f>Assumptions!K7</f>
        <v>0.24050000000000002</v>
      </c>
      <c r="C43" s="25" t="s">
        <v>129</v>
      </c>
    </row>
    <row r="44" spans="1:3" x14ac:dyDescent="0.2">
      <c r="A44" s="4" t="s">
        <v>130</v>
      </c>
      <c r="B44" s="9">
        <f>F13/F6</f>
        <v>0.11981000000000003</v>
      </c>
    </row>
    <row r="46" spans="1:3" x14ac:dyDescent="0.2">
      <c r="A46" s="2" t="s">
        <v>131</v>
      </c>
    </row>
    <row r="48" spans="1:3" x14ac:dyDescent="0.2">
      <c r="A48" s="3" t="s">
        <v>132</v>
      </c>
    </row>
    <row r="49" spans="1:7" x14ac:dyDescent="0.2">
      <c r="B49" s="8" t="s">
        <v>133</v>
      </c>
      <c r="C49" s="39">
        <v>1.4999999999999999E-2</v>
      </c>
      <c r="D49" s="39">
        <v>0.02</v>
      </c>
      <c r="E49" s="39">
        <v>2.5000000000000001E-2</v>
      </c>
      <c r="F49" s="39">
        <v>0.03</v>
      </c>
      <c r="G49" s="39">
        <v>3.5000000000000003E-2</v>
      </c>
    </row>
    <row r="50" spans="1:7" x14ac:dyDescent="0.2">
      <c r="B50" s="40">
        <v>7.0000000000000007E-2</v>
      </c>
      <c r="C50" s="41">
        <f>(SUMPRODUCT($B$13:$F$13,(1+$B50)^-($B$17:$F$17))+($F$13*(1+C$49)/($B50-C$49))*(1+$B50)^-4.5+Assumptions!$F$43-Assumptions!$F$42)/Assumptions!$F$40</f>
        <v>35.806225168245199</v>
      </c>
      <c r="D50" s="41">
        <f>(SUMPRODUCT($B$13:$F$13,(1+$B50)^-($B$17:$F$17))+($F$13*(1+D$49)/($B50-D$49))*(1+$B50)^-4.5+Assumptions!$F$43-Assumptions!$F$42)/Assumptions!$F$40</f>
        <v>38.612653126925764</v>
      </c>
      <c r="E50" s="41">
        <f>(SUMPRODUCT($B$13:$F$13,(1+$B50)^-($B$17:$F$17))+($F$13*(1+E$49)/($B50-E$49))*(1+$B50)^-4.5+Assumptions!$F$43-Assumptions!$F$42)/Assumptions!$F$40</f>
        <v>42.042731743090904</v>
      </c>
      <c r="F50" s="41">
        <f>(SUMPRODUCT($B$13:$F$13,(1+$B50)^-($B$17:$F$17))+($F$13*(1+F$49)/($B50-F$49))*(1+$B50)^-4.5+Assumptions!$F$43-Assumptions!$F$42)/Assumptions!$F$40</f>
        <v>46.330330013297321</v>
      </c>
      <c r="G50" s="41">
        <f>(SUMPRODUCT($B$13:$F$13,(1+$B50)^-($B$17:$F$17))+($F$13*(1+G$49)/($B50-G$49))*(1+$B50)^-4.5+Assumptions!$F$43-Assumptions!$F$42)/Assumptions!$F$40</f>
        <v>51.842956360705585</v>
      </c>
    </row>
    <row r="51" spans="1:7" x14ac:dyDescent="0.2">
      <c r="B51" s="40">
        <v>7.4999999999999997E-2</v>
      </c>
      <c r="C51" s="41">
        <f>(SUMPRODUCT($B$13:$F$13,(1+$B51)^-($B$17:$F$17))+($F$13*(1+C$49)/($B51-C$49))*(1+$B51)^-4.5+Assumptions!$F$43-Assumptions!$F$42)/Assumptions!$F$40</f>
        <v>32.995068294148552</v>
      </c>
      <c r="D51" s="41">
        <f>(SUMPRODUCT($B$13:$F$13,(1+$B51)^-($B$17:$F$17))+($F$13*(1+D$49)/($B51-D$49))*(1+$B51)^-4.5+Assumptions!$F$43-Assumptions!$F$42)/Assumptions!$F$40</f>
        <v>35.295907395216837</v>
      </c>
      <c r="E51" s="41">
        <f>(SUMPRODUCT($B$13:$F$13,(1+$B51)^-($B$17:$F$17))+($F$13*(1+E$49)/($B51-E$49))*(1+$B51)^-4.5+Assumptions!$F$43-Assumptions!$F$42)/Assumptions!$F$40</f>
        <v>38.056914316498769</v>
      </c>
      <c r="F51" s="41">
        <f>(SUMPRODUCT($B$13:$F$13,(1+$B51)^-($B$17:$F$17))+($F$13*(1+F$49)/($B51-F$49))*(1+$B51)^-4.5+Assumptions!$F$43-Assumptions!$F$42)/Assumptions!$F$40</f>
        <v>41.431478331398914</v>
      </c>
      <c r="G51" s="41">
        <f>(SUMPRODUCT($B$13:$F$13,(1+$B51)^-($B$17:$F$17))+($F$13*(1+G$49)/($B51-G$49))*(1+$B51)^-4.5+Assumptions!$F$43-Assumptions!$F$42)/Assumptions!$F$40</f>
        <v>45.649683350024084</v>
      </c>
    </row>
    <row r="52" spans="1:7" x14ac:dyDescent="0.2">
      <c r="B52" s="42">
        <f>Assumptions!F45</f>
        <v>8.0737121142354901E-2</v>
      </c>
      <c r="C52" s="41">
        <f>(SUMPRODUCT($B$13:$F$13,(1+$B52)^-($B$17:$F$17))+($F$13*(1+C$49)/($B52-C$49))*(1+$B52)^-4.5+Assumptions!$F$43-Assumptions!$F$42)/Assumptions!$F$40</f>
        <v>30.296645531441868</v>
      </c>
      <c r="D52" s="41">
        <f>(SUMPRODUCT($B$13:$F$13,(1+$B52)^-($B$17:$F$17))+($F$13*(1+D$49)/($B52-D$49))*(1+$B52)^-4.5+Assumptions!$F$43-Assumptions!$F$42)/Assumptions!$F$40</f>
        <v>32.163217283150708</v>
      </c>
      <c r="E52" s="41">
        <f>(SUMPRODUCT($B$13:$F$13,(1+$B52)^-($B$17:$F$17))+($F$13*(1+E$49)/($B52-E$49))*(1+$B52)^-4.5+Assumptions!$F$43-Assumptions!$F$42)/Assumptions!$F$40</f>
        <v>34.364677474278857</v>
      </c>
      <c r="F52" s="41">
        <f>(SUMPRODUCT($B$13:$F$13,(1+$B52)^-($B$17:$F$17))+($F$13*(1+F$49)/($B52-F$49))*(1+$B52)^-4.5+Assumptions!$F$43-Assumptions!$F$42)/Assumptions!$F$40</f>
        <v>37.000033034628181</v>
      </c>
      <c r="G52" s="41">
        <f>(SUMPRODUCT($B$13:$F$13,(1+$B52)^-($B$17:$F$17))+($F$13*(1+G$49)/($B52-G$49))*(1+$B52)^-4.5+Assumptions!$F$43-Assumptions!$F$42)/Assumptions!$F$40</f>
        <v>40.211584799401237</v>
      </c>
    </row>
    <row r="53" spans="1:7" x14ac:dyDescent="0.2">
      <c r="B53" s="40">
        <v>8.5000000000000006E-2</v>
      </c>
      <c r="C53" s="41">
        <f>(SUMPRODUCT($B$13:$F$13,(1+$B53)^-($B$17:$F$17))+($F$13*(1+C$49)/($B53-C$49))*(1+$B53)^-4.5+Assumptions!$F$43-Assumptions!$F$42)/Assumptions!$F$40</f>
        <v>28.57825622982357</v>
      </c>
      <c r="D53" s="41">
        <f>(SUMPRODUCT($B$13:$F$13,(1+$B53)^-($B$17:$F$17))+($F$13*(1+D$49)/($B53-D$49))*(1+$B53)^-4.5+Assumptions!$F$43-Assumptions!$F$42)/Assumptions!$F$40</f>
        <v>30.193783650318831</v>
      </c>
      <c r="E53" s="41">
        <f>(SUMPRODUCT($B$13:$F$13,(1+$B53)^-($B$17:$F$17))+($F$13*(1+E$49)/($B53-E$49))*(1+$B53)^-4.5+Assumptions!$F$43-Assumptions!$F$42)/Assumptions!$F$40</f>
        <v>32.078565640896642</v>
      </c>
      <c r="F53" s="41">
        <f>(SUMPRODUCT($B$13:$F$13,(1+$B53)^-($B$17:$F$17))+($F$13*(1+F$49)/($B53-F$49))*(1+$B53)^-4.5+Assumptions!$F$43-Assumptions!$F$42)/Assumptions!$F$40</f>
        <v>34.306035266124951</v>
      </c>
      <c r="G53" s="41">
        <f>(SUMPRODUCT($B$13:$F$13,(1+$B53)^-($B$17:$F$17))+($F$13*(1+G$49)/($B53-G$49))*(1+$B53)^-4.5+Assumptions!$F$43-Assumptions!$F$42)/Assumptions!$F$40</f>
        <v>36.978998816398935</v>
      </c>
    </row>
    <row r="54" spans="1:7" x14ac:dyDescent="0.2">
      <c r="B54" s="40">
        <v>0.09</v>
      </c>
      <c r="C54" s="41">
        <f>(SUMPRODUCT($B$13:$F$13,(1+$B54)^-($B$17:$F$17))+($F$13*(1+C$49)/($B54-C$49))*(1+$B54)^-4.5+Assumptions!$F$43-Assumptions!$F$42)/Assumptions!$F$40</f>
        <v>26.811854224470501</v>
      </c>
      <c r="D54" s="41">
        <f>(SUMPRODUCT($B$13:$F$13,(1+$B54)^-($B$17:$F$17))+($F$13*(1+D$49)/($B54-D$49))*(1+$B54)^-4.5+Assumptions!$F$43-Assumptions!$F$42)/Assumptions!$F$40</f>
        <v>28.189627535820495</v>
      </c>
      <c r="E54" s="41">
        <f>(SUMPRODUCT($B$13:$F$13,(1+$B54)^-($B$17:$F$17))+($F$13*(1+E$49)/($B54-E$49))*(1+$B54)^-4.5+Assumptions!$F$43-Assumptions!$F$42)/Assumptions!$F$40</f>
        <v>29.779365971993556</v>
      </c>
      <c r="F54" s="41">
        <f>(SUMPRODUCT($B$13:$F$13,(1+$B54)^-($B$17:$F$17))+($F$13*(1+F$49)/($B54-F$49))*(1+$B54)^-4.5+Assumptions!$F$43-Assumptions!$F$42)/Assumptions!$F$40</f>
        <v>31.634060814195468</v>
      </c>
      <c r="G54" s="41">
        <f>(SUMPRODUCT($B$13:$F$13,(1+$B54)^-($B$17:$F$17))+($F$13*(1+G$49)/($B54-G$49))*(1+$B54)^-4.5+Assumptions!$F$43-Assumptions!$F$42)/Assumptions!$F$40</f>
        <v>33.825972900434088</v>
      </c>
    </row>
    <row r="56" spans="1:7" x14ac:dyDescent="0.2">
      <c r="A56" s="3" t="s">
        <v>134</v>
      </c>
    </row>
    <row r="57" spans="1:7" x14ac:dyDescent="0.2">
      <c r="A57" s="25" t="s">
        <v>135</v>
      </c>
    </row>
    <row r="58" spans="1:7" x14ac:dyDescent="0.2">
      <c r="B58" s="8" t="s">
        <v>136</v>
      </c>
      <c r="C58" s="39">
        <v>1.4999999999999999E-2</v>
      </c>
      <c r="D58" s="39">
        <v>0.02</v>
      </c>
      <c r="E58" s="39">
        <v>2.5000000000000001E-2</v>
      </c>
      <c r="F58" s="39">
        <v>0.03</v>
      </c>
      <c r="G58" s="39">
        <v>3.5000000000000003E-2</v>
      </c>
    </row>
    <row r="59" spans="1:7" x14ac:dyDescent="0.2">
      <c r="B59" s="39">
        <v>0.18</v>
      </c>
      <c r="C59" s="41">
        <f>(SUM($B$19:$E$19)+($F$6*($B59*(1-Assumptions!$K$19)+Assumptions!$K$20-Assumptions!$K$31+Assumptions!$K$32))*$F$18*(1+(1+C$58)/($B$16-C$58))+Assumptions!$F$43-Assumptions!$F$42)/Assumptions!$F$40</f>
        <v>26.945028560496901</v>
      </c>
      <c r="D59" s="41">
        <f>(SUM($B$19:$E$19)+($F$6*($B59*(1-Assumptions!$K$19)+Assumptions!$K$20-Assumptions!$K$31+Assumptions!$K$32))*$F$18*(1+(1+D$58)/($B$16-D$58))+Assumptions!$F$43-Assumptions!$F$42)/Assumptions!$F$40</f>
        <v>28.535688570925682</v>
      </c>
      <c r="E59" s="41">
        <f>(SUM($B$19:$E$19)+($F$6*($B59*(1-Assumptions!$K$19)+Assumptions!$K$20-Assumptions!$K$31+Assumptions!$K$32))*$F$18*(1+(1+E$58)/($B$16-E$58))+Assumptions!$F$43-Assumptions!$F$42)/Assumptions!$F$40</f>
        <v>30.411734689898914</v>
      </c>
      <c r="F59" s="41">
        <f>(SUM($B$19:$E$19)+($F$6*($B59*(1-Assumptions!$K$19)+Assumptions!$K$20-Assumptions!$K$31+Assumptions!$K$32))*$F$18*(1+(1+F$58)/($B$16-F$58))+Assumptions!$F$43-Assumptions!$F$42)/Assumptions!$F$40</f>
        <v>32.657538902499411</v>
      </c>
      <c r="G59" s="41">
        <f>(SUM($B$19:$E$19)+($F$6*($B59*(1-Assumptions!$K$19)+Assumptions!$K$20-Assumptions!$K$31+Assumptions!$K$32))*$F$18*(1+(1+G$58)/($B$16-G$58))+Assumptions!$F$43-Assumptions!$F$42)/Assumptions!$F$40</f>
        <v>35.394367507651978</v>
      </c>
    </row>
    <row r="60" spans="1:7" x14ac:dyDescent="0.2">
      <c r="B60" s="39">
        <v>0.19</v>
      </c>
      <c r="C60" s="41">
        <f>(SUM($B$19:$E$19)+($F$6*($B60*(1-Assumptions!$K$19)+Assumptions!$K$20-Assumptions!$K$31+Assumptions!$K$32))*$F$18*(1+(1+C$58)/($B$16-C$58))+Assumptions!$F$43-Assumptions!$F$42)/Assumptions!$F$40</f>
        <v>28.402253330472977</v>
      </c>
      <c r="D60" s="41">
        <f>(SUM($B$19:$E$19)+($F$6*($B60*(1-Assumptions!$K$19)+Assumptions!$K$20-Assumptions!$K$31+Assumptions!$K$32))*$F$18*(1+(1+D$58)/($B$16-D$58))+Assumptions!$F$43-Assumptions!$F$42)/Assumptions!$F$40</f>
        <v>30.112874967545263</v>
      </c>
      <c r="E60" s="41">
        <f>(SUM($B$19:$E$19)+($F$6*($B60*(1-Assumptions!$K$19)+Assumptions!$K$20-Assumptions!$K$31+Assumptions!$K$32))*$F$18*(1+(1+E$58)/($B$16-E$58))+Assumptions!$F$43-Assumptions!$F$42)/Assumptions!$F$40</f>
        <v>32.130405465716279</v>
      </c>
      <c r="F60" s="41">
        <f>(SUM($B$19:$E$19)+($F$6*($B60*(1-Assumptions!$K$19)+Assumptions!$K$20-Assumptions!$K$31+Assumptions!$K$32))*$F$18*(1+(1+F$58)/($B$16-F$58))+Assumptions!$F$43-Assumptions!$F$42)/Assumptions!$F$40</f>
        <v>34.545579829511922</v>
      </c>
      <c r="G60" s="41">
        <f>(SUM($B$19:$E$19)+($F$6*($B60*(1-Assumptions!$K$19)+Assumptions!$K$20-Assumptions!$K$31+Assumptions!$K$32))*$F$18*(1+(1+G$58)/($B$16-G$58))+Assumptions!$F$43-Assumptions!$F$42)/Assumptions!$F$40</f>
        <v>37.488809808412526</v>
      </c>
    </row>
    <row r="61" spans="1:7" x14ac:dyDescent="0.2">
      <c r="B61" s="43">
        <f>Assumptions!K18</f>
        <v>0.20300000000000001</v>
      </c>
      <c r="C61" s="41">
        <f>(SUM($B$19:$E$19)+($F$6*($B61*(1-Assumptions!$K$19)+Assumptions!$K$20-Assumptions!$K$31+Assumptions!$K$32))*$F$18*(1+(1+C$58)/($B$16-C$58))+Assumptions!$F$43-Assumptions!$F$42)/Assumptions!$F$40</f>
        <v>30.296645531441865</v>
      </c>
      <c r="D61" s="41">
        <f>(SUM($B$19:$E$19)+($F$6*($B61*(1-Assumptions!$K$19)+Assumptions!$K$20-Assumptions!$K$31+Assumptions!$K$32))*$F$18*(1+(1+D$58)/($B$16-D$58))+Assumptions!$F$43-Assumptions!$F$42)/Assumptions!$F$40</f>
        <v>32.163217283150701</v>
      </c>
      <c r="E61" s="41">
        <f>(SUM($B$19:$E$19)+($F$6*($B61*(1-Assumptions!$K$19)+Assumptions!$K$20-Assumptions!$K$31+Assumptions!$K$32))*$F$18*(1+(1+E$58)/($B$16-E$58))+Assumptions!$F$43-Assumptions!$F$42)/Assumptions!$F$40</f>
        <v>34.364677474278842</v>
      </c>
      <c r="F61" s="41">
        <f>(SUM($B$19:$E$19)+($F$6*($B61*(1-Assumptions!$K$19)+Assumptions!$K$20-Assumptions!$K$31+Assumptions!$K$32))*$F$18*(1+(1+F$58)/($B$16-F$58))+Assumptions!$F$43-Assumptions!$F$42)/Assumptions!$F$40</f>
        <v>37.000033034628167</v>
      </c>
      <c r="G61" s="41">
        <f>(SUM($B$19:$E$19)+($F$6*($B61*(1-Assumptions!$K$19)+Assumptions!$K$20-Assumptions!$K$31+Assumptions!$K$32))*$F$18*(1+(1+G$58)/($B$16-G$58))+Assumptions!$F$43-Assumptions!$F$42)/Assumptions!$F$40</f>
        <v>40.211584799401216</v>
      </c>
    </row>
    <row r="62" spans="1:7" x14ac:dyDescent="0.2">
      <c r="B62" s="39">
        <v>0.21</v>
      </c>
      <c r="C62" s="41">
        <f>(SUM($B$19:$E$19)+($F$6*($B62*(1-Assumptions!$K$19)+Assumptions!$K$20-Assumptions!$K$31+Assumptions!$K$32))*$F$18*(1+(1+C$58)/($B$16-C$58))+Assumptions!$F$43-Assumptions!$F$42)/Assumptions!$F$40</f>
        <v>31.316702870425118</v>
      </c>
      <c r="D62" s="41">
        <f>(SUM($B$19:$E$19)+($F$6*($B62*(1-Assumptions!$K$19)+Assumptions!$K$20-Assumptions!$K$31+Assumptions!$K$32))*$F$18*(1+(1+D$58)/($B$16-D$58))+Assumptions!$F$43-Assumptions!$F$42)/Assumptions!$F$40</f>
        <v>33.267247760784407</v>
      </c>
      <c r="E62" s="41">
        <f>(SUM($B$19:$E$19)+($F$6*($B62*(1-Assumptions!$K$19)+Assumptions!$K$20-Assumptions!$K$31+Assumptions!$K$32))*$F$18*(1+(1+E$58)/($B$16-E$58))+Assumptions!$F$43-Assumptions!$F$42)/Assumptions!$F$40</f>
        <v>35.567747017350996</v>
      </c>
      <c r="F62" s="41">
        <f>(SUM($B$19:$E$19)+($F$6*($B62*(1-Assumptions!$K$19)+Assumptions!$K$20-Assumptions!$K$31+Assumptions!$K$32))*$F$18*(1+(1+F$58)/($B$16-F$58))+Assumptions!$F$43-Assumptions!$F$42)/Assumptions!$F$40</f>
        <v>38.321661683536917</v>
      </c>
      <c r="G62" s="41">
        <f>(SUM($B$19:$E$19)+($F$6*($B62*(1-Assumptions!$K$19)+Assumptions!$K$20-Assumptions!$K$31+Assumptions!$K$32))*$F$18*(1+(1+G$58)/($B$16-G$58))+Assumptions!$F$43-Assumptions!$F$42)/Assumptions!$F$40</f>
        <v>41.677694409933594</v>
      </c>
    </row>
    <row r="63" spans="1:7" x14ac:dyDescent="0.2">
      <c r="B63" s="39">
        <v>0.22</v>
      </c>
      <c r="C63" s="41">
        <f>(SUM($B$19:$E$19)+($F$6*($B63*(1-Assumptions!$K$19)+Assumptions!$K$20-Assumptions!$K$31+Assumptions!$K$32))*$F$18*(1+(1+C$58)/($B$16-C$58))+Assumptions!$F$43-Assumptions!$F$42)/Assumptions!$F$40</f>
        <v>32.77392764040119</v>
      </c>
      <c r="D63" s="41">
        <f>(SUM($B$19:$E$19)+($F$6*($B63*(1-Assumptions!$K$19)+Assumptions!$K$20-Assumptions!$K$31+Assumptions!$K$32))*$F$18*(1+(1+D$58)/($B$16-D$58))+Assumptions!$F$43-Assumptions!$F$42)/Assumptions!$F$40</f>
        <v>34.844434157403988</v>
      </c>
      <c r="E63" s="41">
        <f>(SUM($B$19:$E$19)+($F$6*($B63*(1-Assumptions!$K$19)+Assumptions!$K$20-Assumptions!$K$31+Assumptions!$K$32))*$F$18*(1+(1+E$58)/($B$16-E$58))+Assumptions!$F$43-Assumptions!$F$42)/Assumptions!$F$40</f>
        <v>37.286417793168354</v>
      </c>
      <c r="F63" s="41">
        <f>(SUM($B$19:$E$19)+($F$6*($B63*(1-Assumptions!$K$19)+Assumptions!$K$20-Assumptions!$K$31+Assumptions!$K$32))*$F$18*(1+(1+F$58)/($B$16-F$58))+Assumptions!$F$43-Assumptions!$F$42)/Assumptions!$F$40</f>
        <v>40.209702610549414</v>
      </c>
      <c r="G63" s="41">
        <f>(SUM($B$19:$E$19)+($F$6*($B63*(1-Assumptions!$K$19)+Assumptions!$K$20-Assumptions!$K$31+Assumptions!$K$32))*$F$18*(1+(1+G$58)/($B$16-G$58))+Assumptions!$F$43-Assumptions!$F$42)/Assumptions!$F$40</f>
        <v>43.772136710694134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H3" sqref="H3"/>
    </sheetView>
  </sheetViews>
  <sheetFormatPr baseColWidth="10" defaultColWidth="8.6640625" defaultRowHeight="15" x14ac:dyDescent="0.2"/>
  <cols>
    <col min="1" max="1" width="46" customWidth="1"/>
    <col min="2" max="2" width="12" customWidth="1"/>
    <col min="3" max="3" width="15" customWidth="1"/>
    <col min="4" max="5" width="12" customWidth="1"/>
    <col min="6" max="6" width="13" customWidth="1"/>
    <col min="7" max="7" width="10" customWidth="1"/>
    <col min="8" max="8" width="60" customWidth="1"/>
  </cols>
  <sheetData>
    <row r="1" spans="1:8" ht="16" x14ac:dyDescent="0.2">
      <c r="A1" s="1" t="s">
        <v>137</v>
      </c>
    </row>
    <row r="2" spans="1:8" x14ac:dyDescent="0.2">
      <c r="A2" s="2" t="s">
        <v>138</v>
      </c>
    </row>
    <row r="4" spans="1:8" x14ac:dyDescent="0.2">
      <c r="A4" s="3" t="s">
        <v>139</v>
      </c>
    </row>
    <row r="5" spans="1:8" x14ac:dyDescent="0.2">
      <c r="A5" s="4" t="s">
        <v>140</v>
      </c>
      <c r="B5" s="44">
        <v>46233</v>
      </c>
    </row>
    <row r="6" spans="1:8" x14ac:dyDescent="0.2">
      <c r="B6" s="45" t="s">
        <v>141</v>
      </c>
      <c r="C6" s="45" t="s">
        <v>142</v>
      </c>
      <c r="D6" s="45" t="s">
        <v>143</v>
      </c>
      <c r="E6" s="45" t="s">
        <v>144</v>
      </c>
    </row>
    <row r="7" spans="1:8" x14ac:dyDescent="0.2">
      <c r="A7" s="4" t="s">
        <v>145</v>
      </c>
      <c r="B7" s="46">
        <v>1.17</v>
      </c>
      <c r="C7" s="46">
        <v>9.0999999999999998E-2</v>
      </c>
      <c r="D7" s="46">
        <v>5.3999999999999999E-2</v>
      </c>
      <c r="E7" s="46">
        <v>0.92</v>
      </c>
    </row>
    <row r="8" spans="1:8" x14ac:dyDescent="0.2">
      <c r="A8" s="25" t="s">
        <v>146</v>
      </c>
    </row>
    <row r="10" spans="1:8" x14ac:dyDescent="0.2">
      <c r="A10" s="3" t="s">
        <v>147</v>
      </c>
    </row>
    <row r="11" spans="1:8" x14ac:dyDescent="0.2">
      <c r="A11" s="47" t="s">
        <v>148</v>
      </c>
      <c r="B11" s="47" t="s">
        <v>149</v>
      </c>
      <c r="C11" s="47" t="s">
        <v>150</v>
      </c>
      <c r="D11" s="47" t="s">
        <v>151</v>
      </c>
      <c r="E11" s="47" t="s">
        <v>152</v>
      </c>
      <c r="F11" s="47" t="s">
        <v>153</v>
      </c>
      <c r="G11" s="47" t="s">
        <v>154</v>
      </c>
      <c r="H11" s="47" t="s">
        <v>155</v>
      </c>
    </row>
    <row r="12" spans="1:8" ht="24" x14ac:dyDescent="0.2">
      <c r="A12" s="4" t="s">
        <v>156</v>
      </c>
      <c r="B12" s="4" t="s">
        <v>157</v>
      </c>
      <c r="C12" s="26">
        <v>25.34</v>
      </c>
      <c r="D12" s="26">
        <v>28.76</v>
      </c>
      <c r="E12" s="48">
        <v>1.43</v>
      </c>
      <c r="F12" s="48">
        <v>8.06</v>
      </c>
      <c r="G12" s="48">
        <v>22.68</v>
      </c>
      <c r="H12" s="49" t="s">
        <v>158</v>
      </c>
    </row>
    <row r="13" spans="1:8" ht="36" x14ac:dyDescent="0.2">
      <c r="A13" s="4" t="s">
        <v>159</v>
      </c>
      <c r="B13" s="4" t="s">
        <v>160</v>
      </c>
      <c r="C13" s="26">
        <v>133.19999999999999</v>
      </c>
      <c r="D13" s="26">
        <v>124.9</v>
      </c>
      <c r="E13" s="48">
        <v>6.31</v>
      </c>
      <c r="F13" s="48">
        <v>24.28</v>
      </c>
      <c r="G13" s="48">
        <v>51.6</v>
      </c>
      <c r="H13" s="49" t="s">
        <v>161</v>
      </c>
    </row>
    <row r="14" spans="1:8" ht="36" x14ac:dyDescent="0.2">
      <c r="A14" s="4" t="s">
        <v>162</v>
      </c>
      <c r="B14" s="4" t="s">
        <v>163</v>
      </c>
      <c r="C14" s="26">
        <v>20.399999999999999</v>
      </c>
      <c r="D14" s="26">
        <v>22.3</v>
      </c>
      <c r="E14" s="48">
        <v>2.76</v>
      </c>
      <c r="F14" s="48">
        <v>11.72</v>
      </c>
      <c r="G14" s="48">
        <v>20.36</v>
      </c>
      <c r="H14" s="49" t="s">
        <v>164</v>
      </c>
    </row>
    <row r="15" spans="1:8" ht="36" x14ac:dyDescent="0.2">
      <c r="A15" s="4" t="s">
        <v>165</v>
      </c>
      <c r="B15" s="4" t="s">
        <v>166</v>
      </c>
      <c r="C15" s="26">
        <v>7.39</v>
      </c>
      <c r="D15" s="26">
        <v>7.47</v>
      </c>
      <c r="E15" s="48">
        <v>0.57999999999999996</v>
      </c>
      <c r="F15" s="48">
        <v>9.98</v>
      </c>
      <c r="G15" s="48">
        <v>27.86</v>
      </c>
      <c r="H15" s="49" t="s">
        <v>167</v>
      </c>
    </row>
    <row r="16" spans="1:8" ht="36" x14ac:dyDescent="0.2">
      <c r="A16" s="4" t="s">
        <v>168</v>
      </c>
      <c r="B16" s="4" t="s">
        <v>169</v>
      </c>
      <c r="C16" s="26">
        <v>17.2</v>
      </c>
      <c r="D16" s="26">
        <v>20.7</v>
      </c>
      <c r="E16" s="48">
        <v>0.91</v>
      </c>
      <c r="F16" s="48">
        <v>6.75</v>
      </c>
      <c r="G16" s="48">
        <v>15.76</v>
      </c>
      <c r="H16" s="49" t="s">
        <v>170</v>
      </c>
    </row>
    <row r="17" spans="1:8" ht="36" x14ac:dyDescent="0.2">
      <c r="A17" s="4" t="s">
        <v>171</v>
      </c>
      <c r="B17" s="4" t="s">
        <v>172</v>
      </c>
      <c r="C17" s="26">
        <v>9.6999999999999993</v>
      </c>
      <c r="D17" s="26">
        <v>12.6</v>
      </c>
      <c r="E17" s="48">
        <v>0.62</v>
      </c>
      <c r="F17" s="48">
        <v>8.27</v>
      </c>
      <c r="G17" s="48">
        <v>15.06</v>
      </c>
      <c r="H17" s="49" t="s">
        <v>173</v>
      </c>
    </row>
    <row r="18" spans="1:8" ht="36" x14ac:dyDescent="0.2">
      <c r="A18" s="4" t="s">
        <v>174</v>
      </c>
      <c r="B18" s="4" t="s">
        <v>175</v>
      </c>
      <c r="C18" s="26">
        <v>6.3</v>
      </c>
      <c r="D18" s="26">
        <v>8.5</v>
      </c>
      <c r="E18" s="48">
        <v>0.6</v>
      </c>
      <c r="F18" s="48">
        <v>8.0500000000000007</v>
      </c>
      <c r="G18" s="48">
        <v>7.6</v>
      </c>
      <c r="H18" s="49" t="s">
        <v>176</v>
      </c>
    </row>
    <row r="20" spans="1:8" x14ac:dyDescent="0.2">
      <c r="A20" s="3" t="s">
        <v>177</v>
      </c>
      <c r="E20" s="50">
        <f>MEDIAN(E12:E18)</f>
        <v>0.91</v>
      </c>
      <c r="F20" s="50">
        <f>MEDIAN(F12:F18)</f>
        <v>8.27</v>
      </c>
      <c r="G20" s="50">
        <f>MEDIAN(G12:G18)</f>
        <v>20.36</v>
      </c>
    </row>
    <row r="21" spans="1:8" x14ac:dyDescent="0.2">
      <c r="A21" s="4" t="s">
        <v>178</v>
      </c>
      <c r="E21" s="38">
        <f>AVERAGE(E12:E18)</f>
        <v>1.887142857142857</v>
      </c>
      <c r="F21" s="38">
        <f>AVERAGE(F12:F18)</f>
        <v>11.015714285714285</v>
      </c>
      <c r="G21" s="38">
        <f>AVERAGE(G12:G18)</f>
        <v>22.988571428571426</v>
      </c>
    </row>
    <row r="22" spans="1:8" x14ac:dyDescent="0.2">
      <c r="A22" s="3" t="s">
        <v>179</v>
      </c>
      <c r="E22" s="50">
        <f>MEDIAN(E12:E14)</f>
        <v>2.76</v>
      </c>
      <c r="F22" s="50">
        <f>MEDIAN(F12:F14)</f>
        <v>11.72</v>
      </c>
      <c r="G22" s="50">
        <f>MEDIAN(G12:G14)</f>
        <v>22.68</v>
      </c>
    </row>
    <row r="24" spans="1:8" ht="24" x14ac:dyDescent="0.2">
      <c r="A24" s="3" t="s">
        <v>180</v>
      </c>
      <c r="B24" s="4" t="s">
        <v>181</v>
      </c>
      <c r="C24" s="6">
        <f>Assumptions!F57/1000</f>
        <v>178.490208</v>
      </c>
      <c r="D24" s="6">
        <f>(Assumptions!F57+Assumptions!F42-Assumptions!F43)/1000</f>
        <v>173.46520799999999</v>
      </c>
      <c r="E24" s="38">
        <f>D24*1000/Assumptions!F4</f>
        <v>4.3514250451535217</v>
      </c>
      <c r="F24" s="38">
        <f>D24*1000/B28</f>
        <v>15.330553071144497</v>
      </c>
      <c r="G24" s="38">
        <f>C24*1000/Assumptions!F10</f>
        <v>28.696174919614144</v>
      </c>
      <c r="H24" s="49" t="s">
        <v>182</v>
      </c>
    </row>
    <row r="26" spans="1:8" x14ac:dyDescent="0.2">
      <c r="A26" s="4" t="s">
        <v>183</v>
      </c>
      <c r="E26" s="9">
        <f>(E24-E20)/E20</f>
        <v>3.7817857639049688</v>
      </c>
      <c r="F26" s="9">
        <f>(F24-F20)/F20</f>
        <v>0.85375490582158375</v>
      </c>
      <c r="G26" s="9">
        <f>(G24-G20)/G20</f>
        <v>0.40943884673939807</v>
      </c>
    </row>
    <row r="28" spans="1:8" x14ac:dyDescent="0.2">
      <c r="A28" s="3" t="s">
        <v>184</v>
      </c>
      <c r="B28" s="21">
        <v>11315</v>
      </c>
      <c r="C28" s="25" t="s">
        <v>185</v>
      </c>
    </row>
    <row r="30" spans="1:8" x14ac:dyDescent="0.2">
      <c r="A30" s="3" t="s">
        <v>186</v>
      </c>
    </row>
    <row r="31" spans="1:8" x14ac:dyDescent="0.2">
      <c r="A31" s="4" t="s">
        <v>187</v>
      </c>
      <c r="B31" s="22">
        <f>F20*B28</f>
        <v>93575.049999999988</v>
      </c>
    </row>
    <row r="32" spans="1:8" x14ac:dyDescent="0.2">
      <c r="A32" s="4" t="s">
        <v>188</v>
      </c>
      <c r="B32" s="22">
        <f>E22*Assumptions!F4</f>
        <v>110024.63999999998</v>
      </c>
    </row>
    <row r="34" spans="1:2" x14ac:dyDescent="0.2">
      <c r="A34" s="4" t="s">
        <v>189</v>
      </c>
      <c r="B34" s="22">
        <f>B31-Assumptions!F42+Assumptions!F43</f>
        <v>98600.049999999988</v>
      </c>
    </row>
    <row r="35" spans="1:2" x14ac:dyDescent="0.2">
      <c r="A35" s="4" t="s">
        <v>190</v>
      </c>
      <c r="B35" s="22">
        <f>B32-Assumptions!F42+Assumptions!F43</f>
        <v>115049.63999999998</v>
      </c>
    </row>
    <row r="36" spans="1:2" x14ac:dyDescent="0.2">
      <c r="A36" s="4" t="s">
        <v>191</v>
      </c>
      <c r="B36" s="36">
        <f>B34/Assumptions!F40</f>
        <v>31.642132794197874</v>
      </c>
    </row>
    <row r="37" spans="1:2" x14ac:dyDescent="0.2">
      <c r="A37" s="4" t="s">
        <v>192</v>
      </c>
      <c r="B37" s="36">
        <f>B35/Assumptions!F40</f>
        <v>36.921035910272451</v>
      </c>
    </row>
    <row r="38" spans="1:2" x14ac:dyDescent="0.2">
      <c r="A38" s="25" t="s">
        <v>193</v>
      </c>
    </row>
    <row r="40" spans="1:2" x14ac:dyDescent="0.2">
      <c r="A40" s="3" t="s">
        <v>194</v>
      </c>
    </row>
    <row r="41" spans="1:2" x14ac:dyDescent="0.2">
      <c r="A41" s="4" t="s">
        <v>195</v>
      </c>
      <c r="B41" s="41">
        <f>B36</f>
        <v>31.642132794197874</v>
      </c>
    </row>
    <row r="42" spans="1:2" x14ac:dyDescent="0.2">
      <c r="A42" s="4" t="s">
        <v>196</v>
      </c>
      <c r="B42" s="41">
        <f>B37</f>
        <v>36.921035910272451</v>
      </c>
    </row>
    <row r="43" spans="1:2" x14ac:dyDescent="0.2">
      <c r="A43" s="4" t="s">
        <v>197</v>
      </c>
      <c r="B43" s="5">
        <f>DCF!B35</f>
        <v>34.364677474278857</v>
      </c>
    </row>
    <row r="44" spans="1:2" x14ac:dyDescent="0.2">
      <c r="A44" s="4" t="s">
        <v>198</v>
      </c>
      <c r="B44" s="5">
        <f>Scenarios!E6</f>
        <v>44.457415597127458</v>
      </c>
    </row>
    <row r="45" spans="1:2" x14ac:dyDescent="0.2">
      <c r="A45" s="4" t="s">
        <v>199</v>
      </c>
      <c r="B45" s="5">
        <f>Scenarios!E8</f>
        <v>29.204522952032335</v>
      </c>
    </row>
    <row r="46" spans="1:2" x14ac:dyDescent="0.2">
      <c r="A46" s="4" t="s">
        <v>3</v>
      </c>
      <c r="B46" s="5">
        <f>Assumptions!F41</f>
        <v>57.28</v>
      </c>
    </row>
    <row r="48" spans="1:2" x14ac:dyDescent="0.2">
      <c r="A48" s="4" t="s">
        <v>200</v>
      </c>
      <c r="B48" s="37">
        <f>(B43-B46)/B46</f>
        <v>-0.40005800498814847</v>
      </c>
    </row>
    <row r="49" spans="1:2" x14ac:dyDescent="0.2">
      <c r="A49" s="4" t="s">
        <v>201</v>
      </c>
      <c r="B49" s="37">
        <f>(B41-B46)/B46</f>
        <v>-0.44758846378844497</v>
      </c>
    </row>
    <row r="51" spans="1:2" x14ac:dyDescent="0.2">
      <c r="A51" s="25" t="s">
        <v>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showGridLines="0" zoomScaleNormal="100" workbookViewId="0">
      <pane ySplit="5" topLeftCell="A6" activePane="bottomLeft" state="frozen"/>
      <selection pane="bottomLeft" activeCell="E19" sqref="E19"/>
    </sheetView>
  </sheetViews>
  <sheetFormatPr baseColWidth="10" defaultColWidth="8.6640625" defaultRowHeight="15" x14ac:dyDescent="0.2"/>
  <cols>
    <col min="1" max="1" width="38" customWidth="1"/>
    <col min="2" max="2" width="10" customWidth="1"/>
    <col min="3" max="3" width="16" customWidth="1"/>
    <col min="4" max="4" width="12" customWidth="1"/>
    <col min="5" max="5" width="15" customWidth="1"/>
    <col min="6" max="6" width="20" customWidth="1"/>
    <col min="7" max="7" width="50" customWidth="1"/>
    <col min="8" max="8" width="9" customWidth="1"/>
    <col min="9" max="9" width="30" customWidth="1"/>
  </cols>
  <sheetData>
    <row r="1" spans="1:9" ht="16" x14ac:dyDescent="0.2">
      <c r="A1" s="1" t="s">
        <v>203</v>
      </c>
    </row>
    <row r="2" spans="1:9" x14ac:dyDescent="0.2">
      <c r="A2" s="2" t="s">
        <v>204</v>
      </c>
    </row>
    <row r="5" spans="1:9" x14ac:dyDescent="0.2">
      <c r="A5" s="47" t="s">
        <v>205</v>
      </c>
      <c r="B5" s="47" t="s">
        <v>84</v>
      </c>
      <c r="C5" s="47" t="s">
        <v>87</v>
      </c>
      <c r="D5" s="47" t="s">
        <v>80</v>
      </c>
      <c r="E5" s="47" t="s">
        <v>206</v>
      </c>
      <c r="F5" s="47" t="s">
        <v>207</v>
      </c>
      <c r="G5" s="47" t="s">
        <v>208</v>
      </c>
      <c r="H5" s="3" t="s">
        <v>209</v>
      </c>
    </row>
    <row r="6" spans="1:9" x14ac:dyDescent="0.2">
      <c r="A6" s="4" t="s">
        <v>210</v>
      </c>
      <c r="B6" s="29">
        <v>0.65</v>
      </c>
      <c r="C6" s="16">
        <f>Assumptions!$F$48+B6*Assumptions!$F$50</f>
        <v>6.8750000000000006E-2</v>
      </c>
      <c r="D6" s="16">
        <f>Assumptions!$F$60*C6+Assumptions!$F$61*Assumptions!$F$55</f>
        <v>6.742961081545859E-2</v>
      </c>
      <c r="E6" s="36">
        <f>(SUMPRODUCT(DCF!$B$13:$F$13,(1+$D6)^-(DCF!$B$17:$F$17))+(DCF!$F$13*(1+Assumptions!$F$44)/($D6-Assumptions!$F$44))*(1+$D6)^-4.5+Assumptions!$F$43-Assumptions!$F$42)/Assumptions!$F$40</f>
        <v>44.457415597127458</v>
      </c>
      <c r="F6" s="9">
        <f>(E6-Assumptions!$F$41)/Assumptions!$F$41</f>
        <v>-0.22385796792724411</v>
      </c>
      <c r="G6" s="49" t="s">
        <v>211</v>
      </c>
    </row>
    <row r="7" spans="1:9" x14ac:dyDescent="0.2">
      <c r="A7" s="3" t="s">
        <v>212</v>
      </c>
      <c r="B7" s="51">
        <f>Assumptions!F49</f>
        <v>0.9</v>
      </c>
      <c r="C7" s="16">
        <f>Assumptions!$F$48+B7*Assumptions!$F$50</f>
        <v>8.2500000000000004E-2</v>
      </c>
      <c r="D7" s="16">
        <f>Assumptions!$F$60*C7+Assumptions!$F$61*Assumptions!$F$55</f>
        <v>8.0737121142354901E-2</v>
      </c>
      <c r="E7" s="36">
        <f>(SUMPRODUCT(DCF!$B$13:$F$13,(1+$D7)^-(DCF!$B$17:$F$17))+(DCF!$F$13*(1+Assumptions!$F$44)/($D7-Assumptions!$F$44))*(1+$D7)^-4.5+Assumptions!$F$43-Assumptions!$F$42)/Assumptions!$F$40</f>
        <v>34.364677474278857</v>
      </c>
      <c r="F7" s="9">
        <f>(E7-Assumptions!$F$41)/Assumptions!$F$41</f>
        <v>-0.40005800498814847</v>
      </c>
      <c r="G7" s="49" t="s">
        <v>213</v>
      </c>
      <c r="H7" s="51">
        <f>E7-DCF!B35</f>
        <v>0</v>
      </c>
      <c r="I7" s="25" t="s">
        <v>214</v>
      </c>
    </row>
    <row r="8" spans="1:9" x14ac:dyDescent="0.2">
      <c r="A8" s="4" t="s">
        <v>215</v>
      </c>
      <c r="B8" s="29">
        <v>1.1000000000000001</v>
      </c>
      <c r="C8" s="16">
        <f>Assumptions!$F$48+B8*Assumptions!$F$50</f>
        <v>9.35E-2</v>
      </c>
      <c r="D8" s="16">
        <f>Assumptions!$F$60*C8+Assumptions!$F$61*Assumptions!$F$55</f>
        <v>9.1383129403871943E-2</v>
      </c>
      <c r="E8" s="36">
        <f>(SUMPRODUCT(DCF!$B$13:$F$13,(1+$D8)^-(DCF!$B$17:$F$17))+(DCF!$F$13*(1+Assumptions!$F$44)/($D8-Assumptions!$F$44))*(1+$D8)^-4.5+Assumptions!$F$43-Assumptions!$F$42)/Assumptions!$F$40</f>
        <v>29.204522952032335</v>
      </c>
      <c r="F8" s="9">
        <f>(E8-Assumptions!$F$41)/Assumptions!$F$41</f>
        <v>-0.49014450153574834</v>
      </c>
      <c r="G8" s="49" t="s">
        <v>216</v>
      </c>
    </row>
    <row r="10" spans="1:9" ht="156" x14ac:dyDescent="0.2">
      <c r="A10" s="4" t="s">
        <v>217</v>
      </c>
      <c r="B10" s="52">
        <v>0.46</v>
      </c>
      <c r="C10" s="53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DCF</vt:lpstr>
      <vt:lpstr>Comps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24 LEFTAKIS DE LEON, Dimitrios</cp:lastModifiedBy>
  <cp:revision>0</cp:revision>
  <dcterms:created xsi:type="dcterms:W3CDTF">2026-08-01T00:04:10Z</dcterms:created>
  <dcterms:modified xsi:type="dcterms:W3CDTF">2026-08-18T14:07:54Z</dcterms:modified>
  <dc:language>en-US</dc:language>
</cp:coreProperties>
</file>